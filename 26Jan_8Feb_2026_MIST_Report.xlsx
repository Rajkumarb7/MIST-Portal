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1"/>
  <workbookPr defaultThemeVersion="202300"/>
  <mc:AlternateContent xmlns:mc="http://schemas.openxmlformats.org/markup-compatibility/2006">
    <mc:Choice Requires="x15">
      <x15ac:absPath xmlns:x15ac="http://schemas.microsoft.com/office/spreadsheetml/2010/11/ac" url="/Users/raj/Desktop/Brainstroming Business Ideas/TimesheetAPPProject/MIST-Portal_Google/MIST-Portal/"/>
    </mc:Choice>
  </mc:AlternateContent>
  <xr:revisionPtr revIDLastSave="0" documentId="13_ncr:9_{BDC3B82A-28D4-284D-9568-D0146CA5D013}" xr6:coauthVersionLast="47" xr6:coauthVersionMax="47" xr10:uidLastSave="{00000000-0000-0000-0000-000000000000}"/>
  <bookViews>
    <workbookView xWindow="0" yWindow="660" windowWidth="30240" windowHeight="18980" activeTab="1" xr2:uid="{822D9DE5-753F-EF49-BD0D-A9C41BDFB409}"/>
  </bookViews>
  <sheets>
    <sheet name="Detail1" sheetId="3" r:id="rId1"/>
    <sheet name="Sheet1" sheetId="2" r:id="rId2"/>
    <sheet name="MIST_Report_2026-02-07" sheetId="1" r:id="rId3"/>
  </sheets>
  <definedNames>
    <definedName name="_xlnm._FilterDatabase" localSheetId="2" hidden="1">'MIST_Report_2026-02-07'!$A$1:$P$53</definedName>
  </definedNames>
  <calcPr calcId="191029"/>
  <pivotCaches>
    <pivotCache cacheId="16" r:id="rId4"/>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6" i="2" l="1"/>
  <c r="C15" i="2"/>
  <c r="C14" i="2"/>
  <c r="C13" i="2"/>
  <c r="C12" i="2"/>
</calcChain>
</file>

<file path=xl/sharedStrings.xml><?xml version="1.0" encoding="utf-8"?>
<sst xmlns="http://schemas.openxmlformats.org/spreadsheetml/2006/main" count="376" uniqueCount="107">
  <si>
    <t>Date</t>
  </si>
  <si>
    <t>Staff</t>
  </si>
  <si>
    <t>Client</t>
  </si>
  <si>
    <t>Service</t>
  </si>
  <si>
    <t>Shift Type</t>
  </si>
  <si>
    <t>Start Time</t>
  </si>
  <si>
    <t>End Time</t>
  </si>
  <si>
    <t>Hours</t>
  </si>
  <si>
    <t>Hourly Rate</t>
  </si>
  <si>
    <t>KM</t>
  </si>
  <si>
    <t>KM Rate</t>
  </si>
  <si>
    <t>Work Earnings</t>
  </si>
  <si>
    <t>Travel Earnings</t>
  </si>
  <si>
    <t>Total Earnings</t>
  </si>
  <si>
    <t>Status</t>
  </si>
  <si>
    <t>Notes</t>
  </si>
  <si>
    <t>Raj Kumar</t>
  </si>
  <si>
    <t>Lisa</t>
  </si>
  <si>
    <t>outreach</t>
  </si>
  <si>
    <t>evening</t>
  </si>
  <si>
    <t>pending</t>
  </si>
  <si>
    <t>Assisted in Medication by visiting and providing medication from the webster pack</t>
  </si>
  <si>
    <t>Michaela</t>
  </si>
  <si>
    <t>Monitored and reminded her medication on time</t>
  </si>
  <si>
    <t>John</t>
  </si>
  <si>
    <t>sil-day</t>
  </si>
  <si>
    <t>day</t>
  </si>
  <si>
    <t>Assisted with daily chores, lunch and laundry</t>
  </si>
  <si>
    <t>Patrick</t>
  </si>
  <si>
    <t>in-home-support</t>
  </si>
  <si>
    <t>Assisted with dinner and general house tasks</t>
  </si>
  <si>
    <t>9-12 Pm with John--Sculin-Hawker.</t>
  </si>
  <si>
    <t>Joey</t>
  </si>
  <si>
    <t>community-access</t>
  </si>
  <si>
    <t>Picked up Joey ‚Äî Fyshwick, Charnwood, and MacGregor ‚Äî Holland St.</t>
  </si>
  <si>
    <t>Jason</t>
  </si>
  <si>
    <t>12-2 pm with Jason--Paddy's park to Lake in Belconnen-Franklin</t>
  </si>
  <si>
    <t>9-12 PM with John--Sculin-Hawker- Anslie village with Brits</t>
  </si>
  <si>
    <t xml:space="preserve">12-2 pm with Jason--Paddy's park to Lake in Belconnen-Franklin </t>
  </si>
  <si>
    <t>4-6 PM with Patrick-- Griffith-Melba</t>
  </si>
  <si>
    <t>Graeme</t>
  </si>
  <si>
    <t xml:space="preserve">9-10 Graeme --Sculin-Hawker-Belconnen Police station. </t>
  </si>
  <si>
    <t>Trey</t>
  </si>
  <si>
    <t xml:space="preserve">10 am -2 pm Trey --Kaleen-Dunlop-Kaleen </t>
  </si>
  <si>
    <t>5.30 to 7:30 Patrick</t>
  </si>
  <si>
    <t>10-12 John -Hawker-Kippax</t>
  </si>
  <si>
    <t>10 am-12 pm John and then later 4-6 pm John</t>
  </si>
  <si>
    <t>4-6 PM covered John before going to Lisa and Michaela</t>
  </si>
  <si>
    <t>Covered Lisa and Michaela.</t>
  </si>
  <si>
    <t>Monica</t>
  </si>
  <si>
    <t xml:space="preserve"> 10-11:30 am Drove Monica -Home to ACT court.</t>
  </si>
  <si>
    <t>Tim</t>
  </si>
  <si>
    <t>2:30 to 8 PM with Tim--no travel.</t>
  </si>
  <si>
    <t>12-2 PM with Jason--Paddy's park-lake-Franklin.</t>
  </si>
  <si>
    <t>sil-night</t>
  </si>
  <si>
    <t>night</t>
  </si>
  <si>
    <t xml:space="preserve">8 to 11 PM and then a sleepover at John's </t>
  </si>
  <si>
    <t>sil-sleepover</t>
  </si>
  <si>
    <t>sleepover</t>
  </si>
  <si>
    <t xml:space="preserve">11 Pm to 7 am (next day) Sleepover with John </t>
  </si>
  <si>
    <t>7-8:30 am With John -- Morning shift</t>
  </si>
  <si>
    <t>Lachlan</t>
  </si>
  <si>
    <t xml:space="preserve">8:30-10:30 Am Lachlan--drove to Phillip community health center and back. </t>
  </si>
  <si>
    <t>12-2 pm Jason-Paddy's park, Lake, Park in Franklin and SIL home.</t>
  </si>
  <si>
    <t>6-8 pm  Patrick-Coles shopping</t>
  </si>
  <si>
    <t xml:space="preserve">7-9 am John Morning </t>
  </si>
  <si>
    <t xml:space="preserve">12 pm to 2 Pm with Jason--Paddy's park to lake to park in Franklin and back to SIL home. </t>
  </si>
  <si>
    <t>3-4 Pm with Joey--Fyshwick-Belconnen Westfield and MacGregor</t>
  </si>
  <si>
    <t>8-11 PM Night shift with John</t>
  </si>
  <si>
    <t>11 Pm to 7 am (next day) Sleepover at John's</t>
  </si>
  <si>
    <t>7-9 Am John Morning</t>
  </si>
  <si>
    <t xml:space="preserve">9-10 am With Graeme to Hawker. </t>
  </si>
  <si>
    <t xml:space="preserve">12 pm to 2 Pm with Jason--Paddy's park to lake park and then drive via Lynam and Watson (today Jason was little unsetteled and di not want to stay longer in one place so drove him around) to park in Franklin and back to SIL home. </t>
  </si>
  <si>
    <t>4-6 Pm with Patrick in Melba--Drove Pat from Melba to Deakins for his TT match</t>
  </si>
  <si>
    <t>8-11 PM Night shift at John</t>
  </si>
  <si>
    <t xml:space="preserve">11 Pm to 7 AM (Next day) Sleepover at John's </t>
  </si>
  <si>
    <t>7-9 AM John Morning shift</t>
  </si>
  <si>
    <t>8-11 PM Night shift at John's</t>
  </si>
  <si>
    <t>11 Pm to 7 AM (next day) Sleepover at John's</t>
  </si>
  <si>
    <t>7-9 Morning shift with John</t>
  </si>
  <si>
    <t>8-11 PM Night Shift with John</t>
  </si>
  <si>
    <t>11 PM to 7 AM (Next day) Sleepover at John's</t>
  </si>
  <si>
    <t>7-7:30 PM Michala Medication</t>
  </si>
  <si>
    <t>7:30 PM to 8 PM Lisa Medication</t>
  </si>
  <si>
    <t>11 PM to 7 Am (next day) Sleep over at John's</t>
  </si>
  <si>
    <t>9-10 Am Graeme-- Hawker- Belconnen</t>
  </si>
  <si>
    <t>9-10 Graeme-Sculin-Hawker-Sculin</t>
  </si>
  <si>
    <t>5:30 to 7: 30 PM Patrick at Kingston</t>
  </si>
  <si>
    <t>10 AM to 2 PM Trey-Kaleen-Dunlop-- He stayed back at his mom's house in Dunlop</t>
  </si>
  <si>
    <t>Row Labels</t>
  </si>
  <si>
    <t>Grand Total</t>
  </si>
  <si>
    <t>Jan</t>
  </si>
  <si>
    <t>Feb</t>
  </si>
  <si>
    <t>Sum of Hours</t>
  </si>
  <si>
    <t>28-Jan</t>
  </si>
  <si>
    <t>29-Jan</t>
  </si>
  <si>
    <t>27-Jan</t>
  </si>
  <si>
    <t>31-Jan</t>
  </si>
  <si>
    <t>1-Feb</t>
  </si>
  <si>
    <t>2-Feb</t>
  </si>
  <si>
    <t>3-Feb</t>
  </si>
  <si>
    <t>4-Feb</t>
  </si>
  <si>
    <t>5-Feb</t>
  </si>
  <si>
    <t>6-Feb</t>
  </si>
  <si>
    <t>8-Feb</t>
  </si>
  <si>
    <t>ok</t>
  </si>
  <si>
    <t>Details for Sum of Hours - Shift Type: day, Date: 2/8/2026, Days (Date): 8-Feb, Months (Date): Feb, Client: John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</si>
</sst>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2">
    <xf numFmtId="0" fontId="0" fillId="0" borderId="0" xfId="0"/>
    <xf numFmtId="14" fontId="0" fillId="0" borderId="0" xfId="0" applyNumberFormat="1"/>
    <xf numFmtId="20"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Alignment="1">
      <alignment horizontal="left" indent="2"/>
    </xf>
    <xf numFmtId="0" fontId="0" fillId="0" borderId="0" xfId="0" applyNumberFormat="1"/>
    <xf numFmtId="14" fontId="0" fillId="0" borderId="0" xfId="0" applyNumberFormat="1" applyAlignment="1">
      <alignment horizontal="left" indent="3"/>
    </xf>
    <xf numFmtId="0" fontId="0" fillId="0" borderId="0" xfId="0" applyAlignment="1">
      <alignment horizontal="left" indent="4"/>
    </xf>
    <xf numFmtId="19" fontId="0" fillId="0" borderId="0" xfId="0" applyNumberFormat="1"/>
    <xf numFmtId="0" fontId="16"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
    <dxf>
      <numFmt numFmtId="24" formatCode="h:mm:ss\ am/pm"/>
    </dxf>
    <dxf>
      <numFmt numFmtId="24" formatCode="h:mm:ss\ am/pm"/>
    </dxf>
    <dxf>
      <numFmt numFmtId="19" formatCode="d/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[26Jan_8Feb_2026_MIST_Report.xlsx]Sheet1!PivotTable1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Sheet1!$B$3</c:f>
              <c:strCache>
                <c:ptCount val="1"/>
                <c:pt idx="0">
                  <c:v>Total</c:v>
                </c:pt>
              </c:strCache>
            </c:strRef>
          </c:tx>
          <c:spPr>
            <a:solidFill>
              <a:schemeClr val="accent1"/>
            </a:solidFill>
            <a:ln>
              <a:noFill/>
            </a:ln>
            <a:effectLst/>
          </c:spPr>
          <c:invertIfNegative val="0"/>
          <c:cat>
            <c:multiLvlStrRef>
              <c:f>Sheet1!$A$4:$A$22</c:f>
              <c:multiLvlStrCache>
                <c:ptCount val="13"/>
                <c:lvl>
                  <c:pt idx="10">
                    <c:v>day</c:v>
                  </c:pt>
                  <c:pt idx="11">
                    <c:v>night</c:v>
                  </c:pt>
                  <c:pt idx="12">
                    <c:v>sleepover</c:v>
                  </c:pt>
                </c:lvl>
                <c:lvl>
                  <c:pt idx="10">
                    <c:v>8/2/2026</c:v>
                  </c:pt>
                </c:lvl>
                <c:lvl>
                  <c:pt idx="0">
                    <c:v>27-Jan</c:v>
                  </c:pt>
                  <c:pt idx="1">
                    <c:v>28-Jan</c:v>
                  </c:pt>
                  <c:pt idx="2">
                    <c:v>29-Jan</c:v>
                  </c:pt>
                  <c:pt idx="3">
                    <c:v>31-Jan</c:v>
                  </c:pt>
                  <c:pt idx="4">
                    <c:v>1-Feb</c:v>
                  </c:pt>
                  <c:pt idx="5">
                    <c:v>2-Feb</c:v>
                  </c:pt>
                  <c:pt idx="6">
                    <c:v>3-Feb</c:v>
                  </c:pt>
                  <c:pt idx="7">
                    <c:v>4-Feb</c:v>
                  </c:pt>
                  <c:pt idx="8">
                    <c:v>5-Feb</c:v>
                  </c:pt>
                  <c:pt idx="9">
                    <c:v>6-Feb</c:v>
                  </c:pt>
                  <c:pt idx="10">
                    <c:v>8-Feb</c:v>
                  </c:pt>
                </c:lvl>
                <c:lvl>
                  <c:pt idx="0">
                    <c:v>Jan</c:v>
                  </c:pt>
                  <c:pt idx="4">
                    <c:v>Feb</c:v>
                  </c:pt>
                </c:lvl>
                <c:lvl>
                  <c:pt idx="0">
                    <c:v>John</c:v>
                  </c:pt>
                </c:lvl>
              </c:multiLvlStrCache>
            </c:multiLvlStrRef>
          </c:cat>
          <c:val>
            <c:numRef>
              <c:f>Sheet1!$B$4:$B$22</c:f>
              <c:numCache>
                <c:formatCode>General</c:formatCode>
                <c:ptCount val="13"/>
                <c:pt idx="0">
                  <c:v>5</c:v>
                </c:pt>
                <c:pt idx="1">
                  <c:v>3</c:v>
                </c:pt>
                <c:pt idx="2">
                  <c:v>3</c:v>
                </c:pt>
                <c:pt idx="3">
                  <c:v>3</c:v>
                </c:pt>
                <c:pt idx="4">
                  <c:v>4</c:v>
                </c:pt>
                <c:pt idx="5">
                  <c:v>11</c:v>
                </c:pt>
                <c:pt idx="6">
                  <c:v>12.5</c:v>
                </c:pt>
                <c:pt idx="7">
                  <c:v>13</c:v>
                </c:pt>
                <c:pt idx="8">
                  <c:v>13</c:v>
                </c:pt>
                <c:pt idx="9">
                  <c:v>13</c:v>
                </c:pt>
                <c:pt idx="10">
                  <c:v>14</c:v>
                </c:pt>
                <c:pt idx="11">
                  <c:v>3</c:v>
                </c:pt>
                <c:pt idx="12">
                  <c:v>8</c:v>
                </c:pt>
              </c:numCache>
            </c:numRef>
          </c:val>
          <c:extLst>
            <c:ext xmlns:c16="http://schemas.microsoft.com/office/drawing/2014/chart" uri="{C3380CC4-5D6E-409C-BE32-E72D297353CC}">
              <c16:uniqueId val="{00000000-CB41-6E4C-960F-07A8EF474B48}"/>
            </c:ext>
          </c:extLst>
        </c:ser>
        <c:dLbls>
          <c:showLegendKey val="0"/>
          <c:showVal val="0"/>
          <c:showCatName val="0"/>
          <c:showSerName val="0"/>
          <c:showPercent val="0"/>
          <c:showBubbleSize val="0"/>
        </c:dLbls>
        <c:gapWidth val="219"/>
        <c:overlap val="-27"/>
        <c:axId val="1304154048"/>
        <c:axId val="1262670656"/>
      </c:barChart>
      <c:catAx>
        <c:axId val="13041540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2670656"/>
        <c:crosses val="autoZero"/>
        <c:auto val="1"/>
        <c:lblAlgn val="ctr"/>
        <c:lblOffset val="100"/>
        <c:noMultiLvlLbl val="0"/>
      </c:catAx>
      <c:valAx>
        <c:axId val="12626706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41540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9</xdr:col>
      <xdr:colOff>101600</xdr:colOff>
      <xdr:row>4</xdr:row>
      <xdr:rowOff>50800</xdr:rowOff>
    </xdr:from>
    <xdr:to>
      <xdr:col>25</xdr:col>
      <xdr:colOff>50800</xdr:colOff>
      <xdr:row>34</xdr:row>
      <xdr:rowOff>127000</xdr:rowOff>
    </xdr:to>
    <xdr:graphicFrame macro="">
      <xdr:nvGraphicFramePr>
        <xdr:cNvPr id="2" name="Chart 1">
          <a:extLst>
            <a:ext uri="{FF2B5EF4-FFF2-40B4-BE49-F238E27FC236}">
              <a16:creationId xmlns:a16="http://schemas.microsoft.com/office/drawing/2014/main" id="{90BC3129-E4C3-BE16-B9AD-E5EA15B99C5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j Kumar" refreshedDate="46060.888395023147" createdVersion="8" refreshedVersion="8" minRefreshableVersion="3" recordCount="53" xr:uid="{3658FEB3-8E89-A243-B249-6E333E7D196D}">
  <cacheSource type="worksheet">
    <worksheetSource ref="A1:P1048576" sheet="MIST_Report_2026-02-07"/>
  </cacheSource>
  <cacheFields count="18">
    <cacheField name="Date" numFmtId="0">
      <sharedItems containsNonDate="0" containsDate="1" containsString="0" containsBlank="1" minDate="2026-01-26T00:00:00" maxDate="2026-02-09T00:00:00" count="14">
        <d v="2026-01-26T00:00:00"/>
        <d v="2026-01-27T00:00:00"/>
        <d v="2026-01-28T00:00:00"/>
        <d v="2026-01-29T00:00:00"/>
        <d v="2026-01-30T00:00:00"/>
        <d v="2026-01-31T00:00:00"/>
        <d v="2026-02-01T00:00:00"/>
        <d v="2026-02-02T00:00:00"/>
        <d v="2026-02-03T00:00:00"/>
        <d v="2026-02-04T00:00:00"/>
        <d v="2026-02-05T00:00:00"/>
        <d v="2026-02-06T00:00:00"/>
        <d v="2026-02-08T00:00:00"/>
        <m/>
      </sharedItems>
      <fieldGroup par="17"/>
    </cacheField>
    <cacheField name="Staff" numFmtId="0">
      <sharedItems containsBlank="1" count="2">
        <s v="Raj Kumar"/>
        <m/>
      </sharedItems>
    </cacheField>
    <cacheField name="Client" numFmtId="0">
      <sharedItems containsBlank="1" count="12">
        <s v="Lisa"/>
        <s v="Michaela"/>
        <s v="John"/>
        <s v="Patrick"/>
        <s v="Joey"/>
        <s v="Jason"/>
        <s v="Graeme"/>
        <s v="Trey"/>
        <s v="Monica"/>
        <s v="Tim"/>
        <s v="Lachlan"/>
        <m/>
      </sharedItems>
    </cacheField>
    <cacheField name="Service" numFmtId="0">
      <sharedItems containsBlank="1" count="7">
        <s v="outreach"/>
        <s v="sil-day"/>
        <s v="in-home-support"/>
        <s v="community-access"/>
        <s v="sil-night"/>
        <s v="sil-sleepover"/>
        <m/>
      </sharedItems>
    </cacheField>
    <cacheField name="Shift Type" numFmtId="0">
      <sharedItems containsBlank="1" count="5">
        <s v="evening"/>
        <s v="day"/>
        <s v="night"/>
        <s v="sleepover"/>
        <m/>
      </sharedItems>
    </cacheField>
    <cacheField name="Start Time" numFmtId="0">
      <sharedItems containsNonDate="0" containsDate="1" containsString="0" containsBlank="1" minDate="1899-12-30T07:00:00" maxDate="1899-12-30T23:00:00"/>
    </cacheField>
    <cacheField name="End Time" numFmtId="0">
      <sharedItems containsNonDate="0" containsDate="1" containsString="0" containsBlank="1" minDate="1899-12-30T07:00:00" maxDate="1899-12-30T23:00:00"/>
    </cacheField>
    <cacheField name="Hours" numFmtId="0">
      <sharedItems containsString="0" containsBlank="1" containsNumber="1" minValue="0.5" maxValue="14"/>
    </cacheField>
    <cacheField name="Hourly Rate" numFmtId="0">
      <sharedItems containsString="0" containsBlank="1" containsNumber="1" minValue="11.25" maxValue="45"/>
    </cacheField>
    <cacheField name="KM" numFmtId="0">
      <sharedItems containsString="0" containsBlank="1" containsNumber="1" containsInteger="1" minValue="0" maxValue="49"/>
    </cacheField>
    <cacheField name="KM Rate" numFmtId="0">
      <sharedItems containsString="0" containsBlank="1" containsNumber="1" minValue="0" maxValue="0.85"/>
    </cacheField>
    <cacheField name="Work Earnings" numFmtId="0">
      <sharedItems containsString="0" containsBlank="1" containsNumber="1" minValue="15" maxValue="490"/>
    </cacheField>
    <cacheField name="Travel Earnings" numFmtId="0">
      <sharedItems containsString="0" containsBlank="1" containsNumber="1" minValue="0" maxValue="41.65"/>
    </cacheField>
    <cacheField name="Total Earnings" numFmtId="0">
      <sharedItems containsString="0" containsBlank="1" containsNumber="1" minValue="15" maxValue="490"/>
    </cacheField>
    <cacheField name="Status" numFmtId="0">
      <sharedItems containsBlank="1" count="2">
        <s v="pending"/>
        <m/>
      </sharedItems>
    </cacheField>
    <cacheField name="Notes" numFmtId="0">
      <sharedItems containsBlank="1"/>
    </cacheField>
    <cacheField name="Days (Date)" numFmtId="0" databaseField="0">
      <fieldGroup base="0">
        <rangePr groupBy="days" startDate="2026-01-26T00:00:00" endDate="2026-02-09T00:00:00"/>
        <groupItems count="368">
          <s v="&lt;26/1/2026"/>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9/2/2026"/>
        </groupItems>
      </fieldGroup>
    </cacheField>
    <cacheField name="Months (Date)" numFmtId="0" databaseField="0">
      <fieldGroup base="0">
        <rangePr groupBy="months" startDate="2026-01-26T00:00:00" endDate="2026-02-09T00:00:00"/>
        <groupItems count="14">
          <s v="&lt;26/1/2026"/>
          <s v="Jan"/>
          <s v="Feb"/>
          <s v="Mar"/>
          <s v="Apr"/>
          <s v="May"/>
          <s v="Jun"/>
          <s v="Jul"/>
          <s v="Aug"/>
          <s v="Sep"/>
          <s v="Oct"/>
          <s v="Nov"/>
          <s v="Dec"/>
          <s v="&gt;9/2/2026"/>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3">
  <r>
    <x v="0"/>
    <x v="0"/>
    <x v="0"/>
    <x v="0"/>
    <x v="0"/>
    <d v="1899-12-30T19:30:00"/>
    <d v="1899-12-30T20:00:00"/>
    <n v="0.5"/>
    <n v="30"/>
    <n v="0"/>
    <n v="0"/>
    <n v="15"/>
    <n v="0"/>
    <n v="15"/>
    <x v="0"/>
    <s v="Assisted in Medication by visiting and providing medication from the webster pack"/>
  </r>
  <r>
    <x v="0"/>
    <x v="0"/>
    <x v="1"/>
    <x v="0"/>
    <x v="0"/>
    <d v="1899-12-30T19:00:00"/>
    <d v="1899-12-30T19:30:00"/>
    <n v="0.5"/>
    <n v="30"/>
    <n v="0"/>
    <n v="0"/>
    <n v="15"/>
    <n v="0"/>
    <n v="15"/>
    <x v="0"/>
    <s v="Monitored and reminded her medication on time"/>
  </r>
  <r>
    <x v="1"/>
    <x v="0"/>
    <x v="2"/>
    <x v="1"/>
    <x v="1"/>
    <d v="1899-12-30T09:00:00"/>
    <d v="1899-12-30T14:00:00"/>
    <n v="5"/>
    <n v="30"/>
    <n v="5"/>
    <n v="0.85"/>
    <n v="150"/>
    <n v="4.25"/>
    <n v="154.25"/>
    <x v="0"/>
    <s v="Assisted with daily chores, lunch and laundry"/>
  </r>
  <r>
    <x v="1"/>
    <x v="0"/>
    <x v="3"/>
    <x v="2"/>
    <x v="0"/>
    <d v="1899-12-30T16:00:00"/>
    <d v="1899-12-30T18:00:00"/>
    <n v="2"/>
    <n v="30"/>
    <n v="0"/>
    <n v="0"/>
    <n v="60"/>
    <n v="0"/>
    <n v="60"/>
    <x v="0"/>
    <s v="Assisted with dinner and general house tasks"/>
  </r>
  <r>
    <x v="2"/>
    <x v="0"/>
    <x v="2"/>
    <x v="1"/>
    <x v="1"/>
    <d v="1899-12-30T09:00:00"/>
    <d v="1899-12-30T12:00:00"/>
    <n v="3"/>
    <n v="30"/>
    <n v="5"/>
    <n v="0.85"/>
    <n v="90"/>
    <n v="4.25"/>
    <n v="94.25"/>
    <x v="0"/>
    <s v="9-12 Pm with John--Sculin-Hawker."/>
  </r>
  <r>
    <x v="2"/>
    <x v="0"/>
    <x v="4"/>
    <x v="3"/>
    <x v="0"/>
    <d v="1899-12-30T15:00:00"/>
    <d v="1899-12-30T16:00:00"/>
    <n v="1"/>
    <n v="30"/>
    <n v="26"/>
    <n v="0.85"/>
    <n v="30"/>
    <n v="22.099999999999898"/>
    <n v="52.099999999999902"/>
    <x v="0"/>
    <s v="Picked up Joey ‚Äî Fyshwick, Charnwood, and MacGregor ‚Äî Holland St."/>
  </r>
  <r>
    <x v="2"/>
    <x v="0"/>
    <x v="5"/>
    <x v="3"/>
    <x v="1"/>
    <d v="1899-12-30T12:00:00"/>
    <d v="1899-12-30T14:00:00"/>
    <n v="2"/>
    <n v="30"/>
    <n v="23"/>
    <n v="0.85"/>
    <n v="60"/>
    <n v="19.55"/>
    <n v="79.55"/>
    <x v="0"/>
    <s v="12-2 pm with Jason--Paddy's park to Lake in Belconnen-Franklin"/>
  </r>
  <r>
    <x v="3"/>
    <x v="0"/>
    <x v="2"/>
    <x v="1"/>
    <x v="1"/>
    <d v="1899-12-30T09:00:00"/>
    <d v="1899-12-30T12:00:00"/>
    <n v="3"/>
    <n v="30"/>
    <n v="16"/>
    <n v="0.85"/>
    <n v="90"/>
    <n v="13.6"/>
    <n v="103.6"/>
    <x v="0"/>
    <s v="9-12 PM with John--Sculin-Hawker- Anslie village with Brits"/>
  </r>
  <r>
    <x v="3"/>
    <x v="0"/>
    <x v="5"/>
    <x v="3"/>
    <x v="1"/>
    <d v="1899-12-30T12:00:00"/>
    <d v="1899-12-30T14:00:00"/>
    <n v="2"/>
    <n v="30"/>
    <n v="22"/>
    <n v="0.85"/>
    <n v="60"/>
    <n v="18.7"/>
    <n v="78.7"/>
    <x v="0"/>
    <s v="12-2 pm with Jason--Paddy's park to Lake in Belconnen-Franklin "/>
  </r>
  <r>
    <x v="3"/>
    <x v="0"/>
    <x v="3"/>
    <x v="3"/>
    <x v="1"/>
    <d v="1899-12-30T16:00:00"/>
    <d v="1899-12-30T18:00:00"/>
    <n v="2"/>
    <n v="30"/>
    <n v="24"/>
    <n v="0.85"/>
    <n v="60"/>
    <n v="20.399999999999999"/>
    <n v="80.400000000000006"/>
    <x v="0"/>
    <s v="4-6 PM with Patrick-- Griffith-Melba"/>
  </r>
  <r>
    <x v="4"/>
    <x v="0"/>
    <x v="6"/>
    <x v="3"/>
    <x v="1"/>
    <d v="1899-12-30T09:00:00"/>
    <d v="1899-12-30T10:00:00"/>
    <n v="1"/>
    <n v="30"/>
    <n v="8"/>
    <n v="0.85"/>
    <n v="30"/>
    <n v="6.8"/>
    <n v="36.799999999999997"/>
    <x v="0"/>
    <s v="9-10 Graeme --Sculin-Hawker-Belconnen Police station. "/>
  </r>
  <r>
    <x v="4"/>
    <x v="0"/>
    <x v="7"/>
    <x v="3"/>
    <x v="1"/>
    <d v="1899-12-30T10:00:00"/>
    <d v="1899-12-30T14:00:00"/>
    <n v="4"/>
    <n v="30"/>
    <n v="24"/>
    <n v="0.85"/>
    <n v="120"/>
    <n v="20.399999999999999"/>
    <n v="140.4"/>
    <x v="0"/>
    <s v="10 am -2 pm Trey --Kaleen-Dunlop-Kaleen "/>
  </r>
  <r>
    <x v="4"/>
    <x v="0"/>
    <x v="3"/>
    <x v="2"/>
    <x v="0"/>
    <d v="1899-12-30T09:00:00"/>
    <d v="1899-12-30T17:00:00"/>
    <n v="8"/>
    <n v="30"/>
    <n v="0"/>
    <n v="0"/>
    <n v="240"/>
    <n v="0"/>
    <n v="240"/>
    <x v="0"/>
    <s v="5.30 to 7:30 Patrick"/>
  </r>
  <r>
    <x v="5"/>
    <x v="0"/>
    <x v="2"/>
    <x v="1"/>
    <x v="1"/>
    <d v="1899-12-30T09:00:00"/>
    <d v="1899-12-30T12:00:00"/>
    <n v="3"/>
    <n v="45"/>
    <n v="8"/>
    <n v="0.85"/>
    <n v="135"/>
    <n v="6.8"/>
    <n v="141.80000000000001"/>
    <x v="0"/>
    <s v="10-12 John -Hawker-Kippax"/>
  </r>
  <r>
    <x v="6"/>
    <x v="0"/>
    <x v="2"/>
    <x v="3"/>
    <x v="1"/>
    <d v="1899-12-30T10:00:00"/>
    <d v="1899-12-30T12:00:00"/>
    <n v="2"/>
    <n v="45"/>
    <n v="0"/>
    <n v="0"/>
    <n v="90"/>
    <n v="0"/>
    <n v="90"/>
    <x v="0"/>
    <s v="10 am-12 pm John and then later 4-6 pm John"/>
  </r>
  <r>
    <x v="6"/>
    <x v="0"/>
    <x v="2"/>
    <x v="1"/>
    <x v="0"/>
    <d v="1899-12-30T16:00:00"/>
    <d v="1899-12-30T18:00:00"/>
    <n v="2"/>
    <n v="45"/>
    <n v="0"/>
    <n v="0"/>
    <n v="90"/>
    <n v="0"/>
    <n v="90"/>
    <x v="0"/>
    <s v="4-6 PM covered John before going to Lisa and Michaela"/>
  </r>
  <r>
    <x v="6"/>
    <x v="0"/>
    <x v="1"/>
    <x v="0"/>
    <x v="0"/>
    <d v="1899-12-30T19:00:00"/>
    <d v="1899-12-30T19:30:00"/>
    <n v="0.5"/>
    <n v="45"/>
    <n v="0"/>
    <n v="0"/>
    <n v="22.5"/>
    <n v="0"/>
    <n v="22.5"/>
    <x v="0"/>
    <s v="Covered Lisa and Michaela."/>
  </r>
  <r>
    <x v="6"/>
    <x v="0"/>
    <x v="0"/>
    <x v="0"/>
    <x v="0"/>
    <d v="1899-12-30T19:30:00"/>
    <d v="1899-12-30T20:00:00"/>
    <n v="0.5"/>
    <n v="45"/>
    <n v="0"/>
    <n v="0"/>
    <n v="22.5"/>
    <n v="0"/>
    <n v="22.5"/>
    <x v="0"/>
    <s v="Covered Lisa and Michaela."/>
  </r>
  <r>
    <x v="7"/>
    <x v="0"/>
    <x v="8"/>
    <x v="3"/>
    <x v="1"/>
    <d v="1899-12-30T10:00:00"/>
    <d v="1899-12-30T11:30:00"/>
    <n v="1.5"/>
    <n v="30"/>
    <n v="39"/>
    <n v="0.85"/>
    <n v="45"/>
    <n v="33.15"/>
    <n v="78.150000000000006"/>
    <x v="0"/>
    <s v=" 10-11:30 am Drove Monica -Home to ACT court."/>
  </r>
  <r>
    <x v="7"/>
    <x v="0"/>
    <x v="9"/>
    <x v="1"/>
    <x v="0"/>
    <d v="1899-12-30T14:30:00"/>
    <d v="1899-12-30T20:00:00"/>
    <n v="5.5"/>
    <n v="30"/>
    <n v="0"/>
    <n v="0"/>
    <n v="165"/>
    <n v="0"/>
    <n v="165"/>
    <x v="0"/>
    <s v="2:30 to 8 PM with Tim--no travel."/>
  </r>
  <r>
    <x v="7"/>
    <x v="0"/>
    <x v="5"/>
    <x v="3"/>
    <x v="1"/>
    <d v="1899-12-30T12:00:00"/>
    <d v="1899-12-30T14:00:00"/>
    <n v="2"/>
    <n v="30"/>
    <n v="24"/>
    <n v="0.85"/>
    <n v="60"/>
    <n v="20.399999999999999"/>
    <n v="80.400000000000006"/>
    <x v="0"/>
    <s v="12-2 PM with Jason--Paddy's park-lake-Franklin."/>
  </r>
  <r>
    <x v="7"/>
    <x v="0"/>
    <x v="2"/>
    <x v="4"/>
    <x v="2"/>
    <d v="1899-12-30T20:00:00"/>
    <d v="1899-12-30T23:00:00"/>
    <n v="3"/>
    <n v="30"/>
    <n v="0"/>
    <n v="0"/>
    <n v="90"/>
    <n v="0"/>
    <n v="90"/>
    <x v="0"/>
    <s v="8 to 11 PM and then a sleepover at John's "/>
  </r>
  <r>
    <x v="7"/>
    <x v="0"/>
    <x v="2"/>
    <x v="5"/>
    <x v="3"/>
    <d v="1899-12-30T23:00:00"/>
    <d v="1899-12-30T07:00:00"/>
    <n v="8"/>
    <n v="11.25"/>
    <n v="0"/>
    <n v="0"/>
    <n v="90"/>
    <n v="0"/>
    <n v="90"/>
    <x v="0"/>
    <s v="11 Pm to 7 am (next day) Sleepover with John "/>
  </r>
  <r>
    <x v="8"/>
    <x v="0"/>
    <x v="2"/>
    <x v="1"/>
    <x v="1"/>
    <d v="1899-12-30T07:00:00"/>
    <d v="1899-12-30T08:30:00"/>
    <n v="1.5"/>
    <n v="30"/>
    <n v="0"/>
    <n v="0"/>
    <n v="45"/>
    <n v="0"/>
    <n v="45"/>
    <x v="0"/>
    <s v="7-8:30 am With John -- Morning shift"/>
  </r>
  <r>
    <x v="8"/>
    <x v="0"/>
    <x v="10"/>
    <x v="3"/>
    <x v="1"/>
    <d v="1899-12-30T08:30:00"/>
    <d v="1899-12-30T10:30:00"/>
    <n v="2"/>
    <n v="30"/>
    <n v="49"/>
    <n v="0.85"/>
    <n v="60"/>
    <n v="41.65"/>
    <n v="101.65"/>
    <x v="0"/>
    <s v="8:30-10:30 Am Lachlan--drove to Phillip community health center and back. "/>
  </r>
  <r>
    <x v="8"/>
    <x v="0"/>
    <x v="5"/>
    <x v="3"/>
    <x v="1"/>
    <d v="1899-12-30T12:00:00"/>
    <d v="1899-12-30T14:00:00"/>
    <n v="2"/>
    <n v="30"/>
    <n v="25"/>
    <n v="0.85"/>
    <n v="60"/>
    <n v="21.25"/>
    <n v="81.25"/>
    <x v="0"/>
    <s v="12-2 pm Jason-Paddy's park, Lake, Park in Franklin and SIL home."/>
  </r>
  <r>
    <x v="8"/>
    <x v="0"/>
    <x v="3"/>
    <x v="2"/>
    <x v="0"/>
    <d v="1899-12-30T18:00:00"/>
    <d v="1899-12-30T20:00:00"/>
    <n v="2"/>
    <n v="30"/>
    <n v="4"/>
    <n v="0.85"/>
    <n v="60"/>
    <n v="3.4"/>
    <n v="63.4"/>
    <x v="0"/>
    <s v="6-8 pm  Patrick-Coles shopping"/>
  </r>
  <r>
    <x v="9"/>
    <x v="0"/>
    <x v="2"/>
    <x v="1"/>
    <x v="1"/>
    <d v="1899-12-30T07:00:00"/>
    <d v="1899-12-30T09:00:00"/>
    <n v="2"/>
    <n v="30"/>
    <n v="0"/>
    <n v="0"/>
    <n v="60"/>
    <n v="0"/>
    <n v="60"/>
    <x v="0"/>
    <s v="7-9 am John Morning "/>
  </r>
  <r>
    <x v="9"/>
    <x v="0"/>
    <x v="5"/>
    <x v="3"/>
    <x v="1"/>
    <d v="1899-12-30T12:00:00"/>
    <d v="1899-12-30T14:00:00"/>
    <n v="2"/>
    <n v="30"/>
    <n v="25"/>
    <n v="0.85"/>
    <n v="60"/>
    <n v="21.25"/>
    <n v="81.25"/>
    <x v="0"/>
    <s v="12 pm to 2 Pm with Jason--Paddy's park to lake to park in Franklin and back to SIL home. "/>
  </r>
  <r>
    <x v="9"/>
    <x v="0"/>
    <x v="4"/>
    <x v="3"/>
    <x v="0"/>
    <d v="1899-12-30T15:00:00"/>
    <d v="1899-12-30T16:00:00"/>
    <n v="1"/>
    <n v="30"/>
    <n v="25"/>
    <n v="0.85"/>
    <n v="30"/>
    <n v="21.25"/>
    <n v="51.25"/>
    <x v="0"/>
    <s v="3-4 Pm with Joey--Fyshwick-Belconnen Westfield and MacGregor"/>
  </r>
  <r>
    <x v="9"/>
    <x v="0"/>
    <x v="2"/>
    <x v="4"/>
    <x v="2"/>
    <d v="1899-12-30T20:00:00"/>
    <d v="1899-12-30T23:00:00"/>
    <n v="3"/>
    <n v="30"/>
    <n v="0"/>
    <n v="0"/>
    <n v="90"/>
    <n v="0"/>
    <n v="90"/>
    <x v="0"/>
    <s v="8-11 PM Night shift with John"/>
  </r>
  <r>
    <x v="9"/>
    <x v="0"/>
    <x v="2"/>
    <x v="5"/>
    <x v="3"/>
    <d v="1899-12-30T23:00:00"/>
    <d v="1899-12-30T07:00:00"/>
    <n v="8"/>
    <n v="11.25"/>
    <n v="0"/>
    <n v="0"/>
    <n v="90"/>
    <n v="0"/>
    <n v="90"/>
    <x v="0"/>
    <s v="11 Pm to 7 am (next day) Sleepover at John's"/>
  </r>
  <r>
    <x v="10"/>
    <x v="0"/>
    <x v="2"/>
    <x v="1"/>
    <x v="1"/>
    <d v="1899-12-30T07:00:00"/>
    <d v="1899-12-30T09:00:00"/>
    <n v="2"/>
    <n v="30"/>
    <n v="0"/>
    <n v="0"/>
    <n v="60"/>
    <n v="0"/>
    <n v="60"/>
    <x v="0"/>
    <s v="7-9 Am John Morning"/>
  </r>
  <r>
    <x v="10"/>
    <x v="0"/>
    <x v="6"/>
    <x v="3"/>
    <x v="1"/>
    <d v="1899-12-30T09:00:00"/>
    <d v="1899-12-30T10:00:00"/>
    <n v="1"/>
    <n v="30"/>
    <n v="4"/>
    <n v="0.85"/>
    <n v="30"/>
    <n v="3.4"/>
    <n v="33.4"/>
    <x v="0"/>
    <s v="9-10 am With Graeme to Hawker. "/>
  </r>
  <r>
    <x v="10"/>
    <x v="0"/>
    <x v="5"/>
    <x v="3"/>
    <x v="1"/>
    <d v="1899-12-30T12:00:00"/>
    <d v="1899-12-30T14:00:00"/>
    <n v="2"/>
    <n v="30"/>
    <n v="32"/>
    <n v="0.85"/>
    <n v="60"/>
    <n v="27.2"/>
    <n v="87.2"/>
    <x v="0"/>
    <s v="12 pm to 2 Pm with Jason--Paddy's park to lake park and then drive via Lynam and Watson (today Jason was little unsetteled and di not want to stay longer in one place so drove him around) to park in Franklin and back to SIL home. "/>
  </r>
  <r>
    <x v="10"/>
    <x v="0"/>
    <x v="3"/>
    <x v="2"/>
    <x v="0"/>
    <d v="1899-12-30T17:30:00"/>
    <d v="1899-12-30T19:30:00"/>
    <n v="2"/>
    <n v="30"/>
    <n v="24"/>
    <n v="0.85"/>
    <n v="60"/>
    <n v="20.399999999999999"/>
    <n v="80.400000000000006"/>
    <x v="0"/>
    <s v="4-6 Pm with Patrick in Melba--Drove Pat from Melba to Deakins for his TT match"/>
  </r>
  <r>
    <x v="10"/>
    <x v="0"/>
    <x v="2"/>
    <x v="4"/>
    <x v="2"/>
    <d v="1899-12-30T20:00:00"/>
    <d v="1899-12-30T23:00:00"/>
    <n v="3"/>
    <n v="30"/>
    <n v="0"/>
    <n v="0"/>
    <n v="90"/>
    <n v="0"/>
    <n v="90"/>
    <x v="0"/>
    <s v="8-11 PM Night shift at John"/>
  </r>
  <r>
    <x v="10"/>
    <x v="0"/>
    <x v="2"/>
    <x v="5"/>
    <x v="3"/>
    <d v="1899-12-30T23:00:00"/>
    <d v="1899-12-30T07:00:00"/>
    <n v="8"/>
    <n v="11.25"/>
    <n v="0"/>
    <n v="0"/>
    <n v="90"/>
    <n v="0"/>
    <n v="90"/>
    <x v="0"/>
    <s v="11 Pm to 7 AM (Next day) Sleepover at John's "/>
  </r>
  <r>
    <x v="11"/>
    <x v="0"/>
    <x v="2"/>
    <x v="1"/>
    <x v="1"/>
    <d v="1899-12-30T07:00:00"/>
    <d v="1899-12-30T09:00:00"/>
    <n v="2"/>
    <n v="30"/>
    <n v="0"/>
    <n v="0"/>
    <n v="60"/>
    <n v="0"/>
    <n v="60"/>
    <x v="0"/>
    <s v="7-9 AM John Morning shift"/>
  </r>
  <r>
    <x v="11"/>
    <x v="0"/>
    <x v="2"/>
    <x v="4"/>
    <x v="2"/>
    <d v="1899-12-30T20:00:00"/>
    <d v="1899-12-30T23:00:00"/>
    <n v="3"/>
    <n v="30"/>
    <n v="0"/>
    <n v="0"/>
    <n v="90"/>
    <n v="0"/>
    <n v="90"/>
    <x v="0"/>
    <s v="8-11 PM Night shift at John's"/>
  </r>
  <r>
    <x v="11"/>
    <x v="0"/>
    <x v="2"/>
    <x v="5"/>
    <x v="3"/>
    <d v="1899-12-30T23:00:00"/>
    <d v="1899-12-30T07:00:00"/>
    <n v="8"/>
    <n v="11.25"/>
    <n v="0"/>
    <n v="0"/>
    <n v="90"/>
    <n v="0"/>
    <n v="90"/>
    <x v="0"/>
    <s v="11 Pm to 7 AM (next day) Sleepover at John's"/>
  </r>
  <r>
    <x v="12"/>
    <x v="0"/>
    <x v="2"/>
    <x v="1"/>
    <x v="1"/>
    <d v="1899-12-30T07:00:00"/>
    <d v="1899-12-30T21:00:00"/>
    <n v="14"/>
    <n v="35"/>
    <n v="0"/>
    <n v="0"/>
    <n v="490"/>
    <n v="0"/>
    <n v="490"/>
    <x v="0"/>
    <s v="7-9 Morning shift with John"/>
  </r>
  <r>
    <x v="12"/>
    <x v="0"/>
    <x v="2"/>
    <x v="4"/>
    <x v="2"/>
    <d v="1899-12-30T20:00:00"/>
    <d v="1899-12-30T23:00:00"/>
    <n v="3"/>
    <n v="35"/>
    <n v="0"/>
    <n v="0"/>
    <n v="105"/>
    <n v="0"/>
    <n v="105"/>
    <x v="0"/>
    <s v="8-11 PM Night Shift with John"/>
  </r>
  <r>
    <x v="12"/>
    <x v="0"/>
    <x v="2"/>
    <x v="5"/>
    <x v="3"/>
    <d v="1899-12-30T23:00:00"/>
    <d v="1899-12-30T07:00:00"/>
    <n v="8"/>
    <n v="11.25"/>
    <n v="0"/>
    <n v="0"/>
    <n v="90"/>
    <n v="0"/>
    <n v="90"/>
    <x v="0"/>
    <s v="11 PM to 7 AM (Next day) Sleepover at John's"/>
  </r>
  <r>
    <x v="12"/>
    <x v="0"/>
    <x v="1"/>
    <x v="0"/>
    <x v="0"/>
    <d v="1899-12-30T19:00:00"/>
    <d v="1899-12-30T19:30:00"/>
    <n v="0.5"/>
    <n v="35"/>
    <n v="0"/>
    <n v="0"/>
    <n v="17.5"/>
    <n v="0"/>
    <n v="17.5"/>
    <x v="0"/>
    <s v="7-7:30 PM Michala Medication"/>
  </r>
  <r>
    <x v="12"/>
    <x v="0"/>
    <x v="0"/>
    <x v="0"/>
    <x v="0"/>
    <d v="1899-12-30T19:30:00"/>
    <d v="1899-12-30T20:00:00"/>
    <n v="0.5"/>
    <n v="35"/>
    <n v="0"/>
    <n v="0"/>
    <n v="17.5"/>
    <n v="0"/>
    <n v="17.5"/>
    <x v="0"/>
    <s v="7:30 PM to 8 PM Lisa Medication"/>
  </r>
  <r>
    <x v="8"/>
    <x v="0"/>
    <x v="2"/>
    <x v="4"/>
    <x v="1"/>
    <d v="1899-12-30T20:00:00"/>
    <d v="1899-12-30T23:00:00"/>
    <n v="3"/>
    <n v="30"/>
    <n v="5"/>
    <n v="0.85"/>
    <n v="90"/>
    <n v="4.25"/>
    <n v="94.25"/>
    <x v="0"/>
    <s v="8-11 PM Night Shift with John"/>
  </r>
  <r>
    <x v="8"/>
    <x v="0"/>
    <x v="2"/>
    <x v="5"/>
    <x v="3"/>
    <d v="1899-12-30T23:00:00"/>
    <d v="1899-12-30T07:00:00"/>
    <n v="8"/>
    <n v="11.25"/>
    <n v="0"/>
    <n v="0"/>
    <n v="90"/>
    <n v="0"/>
    <n v="90"/>
    <x v="0"/>
    <s v="11 PM to 7 Am (next day) Sleep over at John's"/>
  </r>
  <r>
    <x v="9"/>
    <x v="0"/>
    <x v="6"/>
    <x v="3"/>
    <x v="1"/>
    <d v="1899-12-30T09:00:00"/>
    <d v="1899-12-30T22:00:00"/>
    <n v="13"/>
    <n v="30"/>
    <n v="8"/>
    <n v="0.85"/>
    <n v="390"/>
    <n v="6.8"/>
    <n v="396.8"/>
    <x v="0"/>
    <s v="9-10 Am Graeme-- Hawker- Belconnen"/>
  </r>
  <r>
    <x v="11"/>
    <x v="0"/>
    <x v="6"/>
    <x v="3"/>
    <x v="1"/>
    <d v="1899-12-30T09:00:00"/>
    <d v="1899-12-30T10:00:00"/>
    <n v="1"/>
    <n v="30"/>
    <n v="4"/>
    <n v="0.85"/>
    <n v="30"/>
    <n v="3.4"/>
    <n v="33.4"/>
    <x v="0"/>
    <s v="9-10 Graeme-Sculin-Hawker-Sculin"/>
  </r>
  <r>
    <x v="11"/>
    <x v="0"/>
    <x v="3"/>
    <x v="2"/>
    <x v="1"/>
    <d v="1899-12-30T17:30:00"/>
    <d v="1899-12-30T19:30:00"/>
    <n v="2"/>
    <n v="30"/>
    <n v="0"/>
    <n v="0"/>
    <n v="60"/>
    <n v="0"/>
    <n v="60"/>
    <x v="0"/>
    <s v="5:30 to 7: 30 PM Patrick at Kingston"/>
  </r>
  <r>
    <x v="11"/>
    <x v="0"/>
    <x v="7"/>
    <x v="3"/>
    <x v="1"/>
    <d v="1899-12-30T10:00:00"/>
    <d v="1899-12-30T14:00:00"/>
    <n v="4"/>
    <n v="30"/>
    <n v="12"/>
    <n v="0.85"/>
    <n v="120"/>
    <n v="10.199999999999999"/>
    <n v="130.19999999999999"/>
    <x v="0"/>
    <s v="10 AM to 2 PM Trey-Kaleen-Dunlop-- He stayed back at his mom's house in Dunlop"/>
  </r>
  <r>
    <x v="13"/>
    <x v="1"/>
    <x v="11"/>
    <x v="6"/>
    <x v="4"/>
    <m/>
    <m/>
    <m/>
    <m/>
    <m/>
    <m/>
    <m/>
    <m/>
    <m/>
    <x v="1"/>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E1CBE48-5C34-9E4B-8ECB-9EEDF3B36E7E}" name="PivotTable1"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B22" firstHeaderRow="1" firstDataRow="1" firstDataCol="1"/>
  <pivotFields count="18">
    <pivotField axis="axisRow" showAll="0">
      <items count="15">
        <item x="0"/>
        <item x="1"/>
        <item x="2"/>
        <item x="3"/>
        <item x="4"/>
        <item x="5"/>
        <item x="6"/>
        <item x="7"/>
        <item x="8"/>
        <item x="9"/>
        <item x="10"/>
        <item x="11"/>
        <item x="12"/>
        <item x="13"/>
        <item t="default"/>
      </items>
    </pivotField>
    <pivotField showAll="0">
      <items count="3">
        <item x="0"/>
        <item x="1"/>
        <item t="default"/>
      </items>
    </pivotField>
    <pivotField axis="axisRow" multipleItemSelectionAllowed="1" showAll="0">
      <items count="13">
        <item h="1" x="6"/>
        <item h="1" x="5"/>
        <item h="1" x="4"/>
        <item x="2"/>
        <item h="1" x="10"/>
        <item h="1" x="0"/>
        <item h="1" x="1"/>
        <item h="1" x="8"/>
        <item h="1" x="3"/>
        <item h="1" x="9"/>
        <item h="1" x="7"/>
        <item h="1" x="11"/>
        <item t="default"/>
      </items>
    </pivotField>
    <pivotField showAll="0">
      <items count="8">
        <item x="3"/>
        <item x="2"/>
        <item x="0"/>
        <item x="1"/>
        <item x="4"/>
        <item x="5"/>
        <item x="6"/>
        <item t="default"/>
      </items>
    </pivotField>
    <pivotField axis="axisRow" showAll="0">
      <items count="6">
        <item x="1"/>
        <item x="0"/>
        <item x="2"/>
        <item x="3"/>
        <item x="4"/>
        <item t="default"/>
      </items>
    </pivotField>
    <pivotField showAll="0"/>
    <pivotField showAll="0"/>
    <pivotField dataField="1" showAll="0"/>
    <pivotField showAll="0"/>
    <pivotField showAll="0"/>
    <pivotField showAll="0"/>
    <pivotField showAll="0"/>
    <pivotField showAll="0"/>
    <pivotField showAll="0"/>
    <pivotField showAll="0">
      <items count="3">
        <item x="0"/>
        <item x="1"/>
        <item t="default"/>
      </items>
    </pivotField>
    <pivotField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x="1"/>
        <item x="2"/>
        <item sd="0" x="3"/>
        <item sd="0" x="4"/>
        <item sd="0" x="5"/>
        <item sd="0" x="6"/>
        <item sd="0" x="7"/>
        <item sd="0" x="8"/>
        <item sd="0" x="9"/>
        <item sd="0" x="10"/>
        <item sd="0" x="11"/>
        <item sd="0" x="12"/>
        <item sd="0" x="13"/>
        <item t="default"/>
      </items>
    </pivotField>
  </pivotFields>
  <rowFields count="5">
    <field x="2"/>
    <field x="17"/>
    <field x="16"/>
    <field x="0"/>
    <field x="4"/>
  </rowFields>
  <rowItems count="19">
    <i>
      <x v="3"/>
    </i>
    <i r="1">
      <x v="1"/>
    </i>
    <i r="2">
      <x v="27"/>
    </i>
    <i r="2">
      <x v="28"/>
    </i>
    <i r="2">
      <x v="29"/>
    </i>
    <i r="2">
      <x v="31"/>
    </i>
    <i r="1">
      <x v="2"/>
    </i>
    <i r="2">
      <x v="32"/>
    </i>
    <i r="2">
      <x v="33"/>
    </i>
    <i r="2">
      <x v="34"/>
    </i>
    <i r="2">
      <x v="35"/>
    </i>
    <i r="2">
      <x v="36"/>
    </i>
    <i r="2">
      <x v="37"/>
    </i>
    <i r="2">
      <x v="39"/>
    </i>
    <i r="3">
      <x v="12"/>
    </i>
    <i r="4">
      <x/>
    </i>
    <i r="4">
      <x v="2"/>
    </i>
    <i r="4">
      <x v="3"/>
    </i>
    <i t="grand">
      <x/>
    </i>
  </rowItems>
  <colItems count="1">
    <i/>
  </colItems>
  <dataFields count="1">
    <dataField name="Sum of Hours" fld="7"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99A284E-28A7-F242-8E1A-F3B6747D9893}" name="Table1" displayName="Table1" ref="A3:P4" totalsRowShown="0">
  <autoFilter ref="A3:P4" xr:uid="{499A284E-28A7-F242-8E1A-F3B6747D9893}"/>
  <tableColumns count="16">
    <tableColumn id="1" xr3:uid="{AAFCF6CA-7BAD-0646-9F82-B13AE2007C09}" name="Date" dataDxfId="2"/>
    <tableColumn id="2" xr3:uid="{63F47366-F5EB-D14B-B833-89F3B0939EAD}" name="Staff"/>
    <tableColumn id="3" xr3:uid="{F0739A89-23C7-F848-8D74-DC9A14A32CB4}" name="Client"/>
    <tableColumn id="4" xr3:uid="{85E87E7D-66C7-3845-98BB-21221EFF1A12}" name="Service"/>
    <tableColumn id="5" xr3:uid="{8CDA15EB-0ADA-734E-AABE-35FB9B327D9A}" name="Shift Type"/>
    <tableColumn id="6" xr3:uid="{F21D0D60-84FE-094C-BE4A-CCE4251A2110}" name="Start Time" dataDxfId="1"/>
    <tableColumn id="7" xr3:uid="{B3640ABF-F89D-314A-A7AF-D6460C647DD8}" name="End Time" dataDxfId="0"/>
    <tableColumn id="8" xr3:uid="{3EE1FA56-7D5F-DB44-B695-86B176123E81}" name="Hours"/>
    <tableColumn id="9" xr3:uid="{30061296-8920-6842-9953-545F6263AF2A}" name="Hourly Rate"/>
    <tableColumn id="10" xr3:uid="{C0A21534-274F-0246-93E3-49749618240C}" name="KM"/>
    <tableColumn id="11" xr3:uid="{2438C374-1D41-3846-9178-D544873A020C}" name="KM Rate"/>
    <tableColumn id="12" xr3:uid="{647DB43A-A4A2-294A-A727-EA2BF85E12E3}" name="Work Earnings"/>
    <tableColumn id="13" xr3:uid="{AB63B293-F79C-DF40-8DE0-7AB5D2DFE9EF}" name="Travel Earnings"/>
    <tableColumn id="14" xr3:uid="{EBF4C5C6-AB4E-DB4E-A701-666438F4961B}" name="Total Earnings"/>
    <tableColumn id="15" xr3:uid="{2F2CA56F-5375-084D-90F1-70ECC727520C}" name="Status"/>
    <tableColumn id="16" xr3:uid="{A6BBD7B9-FA8E-554C-9A2C-94C2D21BFC12}" name="Note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28F133-9AA1-C247-9BC0-F1AC514F2CA1}">
  <dimension ref="A1:P4"/>
  <sheetViews>
    <sheetView workbookViewId="0">
      <selection activeCell="H5" sqref="H5"/>
    </sheetView>
  </sheetViews>
  <sheetFormatPr baseColWidth="10" defaultRowHeight="16" x14ac:dyDescent="0.2"/>
  <cols>
    <col min="1" max="4" width="11" bestFit="1" customWidth="1"/>
    <col min="5" max="5" width="11.5" bestFit="1" customWidth="1"/>
    <col min="6" max="6" width="12" bestFit="1" customWidth="1"/>
    <col min="7" max="8" width="11" bestFit="1" customWidth="1"/>
    <col min="9" max="9" width="13.1640625" bestFit="1" customWidth="1"/>
    <col min="10" max="11" width="11" bestFit="1" customWidth="1"/>
    <col min="12" max="12" width="15.5" bestFit="1" customWidth="1"/>
    <col min="13" max="13" width="16" bestFit="1" customWidth="1"/>
    <col min="14" max="14" width="15.1640625" bestFit="1" customWidth="1"/>
    <col min="15" max="15" width="11" bestFit="1" customWidth="1"/>
    <col min="16" max="16" width="22.6640625" bestFit="1" customWidth="1"/>
  </cols>
  <sheetData>
    <row r="1" spans="1:16" x14ac:dyDescent="0.2">
      <c r="A1" s="11" t="s">
        <v>106</v>
      </c>
    </row>
    <row r="3" spans="1:16" x14ac:dyDescent="0.2">
      <c r="A3" t="s">
        <v>0</v>
      </c>
      <c r="B3" t="s">
        <v>1</v>
      </c>
      <c r="C3" t="s">
        <v>2</v>
      </c>
      <c r="D3" t="s">
        <v>3</v>
      </c>
      <c r="E3" t="s">
        <v>4</v>
      </c>
      <c r="F3" t="s">
        <v>5</v>
      </c>
      <c r="G3" t="s">
        <v>6</v>
      </c>
      <c r="H3" t="s">
        <v>7</v>
      </c>
      <c r="I3" t="s">
        <v>8</v>
      </c>
      <c r="J3" t="s">
        <v>9</v>
      </c>
      <c r="K3" t="s">
        <v>10</v>
      </c>
      <c r="L3" t="s">
        <v>11</v>
      </c>
      <c r="M3" t="s">
        <v>12</v>
      </c>
      <c r="N3" t="s">
        <v>13</v>
      </c>
      <c r="O3" t="s">
        <v>14</v>
      </c>
      <c r="P3" t="s">
        <v>15</v>
      </c>
    </row>
    <row r="4" spans="1:16" x14ac:dyDescent="0.2">
      <c r="A4" s="1">
        <v>46061</v>
      </c>
      <c r="B4" t="s">
        <v>16</v>
      </c>
      <c r="C4" t="s">
        <v>24</v>
      </c>
      <c r="D4" t="s">
        <v>25</v>
      </c>
      <c r="E4" t="s">
        <v>26</v>
      </c>
      <c r="F4" s="10">
        <v>0.29166666666666669</v>
      </c>
      <c r="G4" s="10">
        <v>0.375</v>
      </c>
      <c r="H4">
        <v>2</v>
      </c>
      <c r="I4">
        <v>35</v>
      </c>
      <c r="J4">
        <v>0</v>
      </c>
      <c r="K4">
        <v>0</v>
      </c>
      <c r="L4">
        <v>490</v>
      </c>
      <c r="M4">
        <v>0</v>
      </c>
      <c r="N4">
        <v>490</v>
      </c>
      <c r="O4" t="s">
        <v>20</v>
      </c>
      <c r="P4" t="s">
        <v>79</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F1C5DF-71C6-6B43-BF30-5A74C287115E}">
  <dimension ref="A3:C22"/>
  <sheetViews>
    <sheetView tabSelected="1" topLeftCell="A7" zoomScale="220" zoomScaleNormal="220" workbookViewId="0">
      <selection activeCell="B15" sqref="B15"/>
    </sheetView>
  </sheetViews>
  <sheetFormatPr baseColWidth="10" defaultRowHeight="16" x14ac:dyDescent="0.2"/>
  <cols>
    <col min="1" max="1" width="22.1640625" bestFit="1" customWidth="1"/>
    <col min="2" max="5" width="12.1640625" bestFit="1" customWidth="1"/>
    <col min="6" max="6" width="7.6640625" bestFit="1" customWidth="1"/>
    <col min="7" max="7" width="4.6640625" bestFit="1" customWidth="1"/>
    <col min="8" max="8" width="8.6640625" bestFit="1" customWidth="1"/>
    <col min="9" max="10" width="7.1640625" bestFit="1" customWidth="1"/>
    <col min="11" max="11" width="4.1640625" bestFit="1" customWidth="1"/>
    <col min="12" max="12" width="4.5" bestFit="1" customWidth="1"/>
    <col min="13" max="13" width="7" bestFit="1" customWidth="1"/>
    <col min="14" max="14" width="12.1640625" bestFit="1" customWidth="1"/>
    <col min="15" max="15" width="5.83203125" bestFit="1" customWidth="1"/>
    <col min="16" max="16" width="4.6640625" bestFit="1" customWidth="1"/>
    <col min="17" max="17" width="6.1640625" bestFit="1" customWidth="1"/>
    <col min="18" max="18" width="7.6640625" bestFit="1" customWidth="1"/>
    <col min="19" max="19" width="4.6640625" bestFit="1" customWidth="1"/>
    <col min="20" max="20" width="8.6640625" bestFit="1" customWidth="1"/>
    <col min="21" max="22" width="7.1640625" bestFit="1" customWidth="1"/>
    <col min="23" max="23" width="4.1640625" bestFit="1" customWidth="1"/>
    <col min="24" max="24" width="4.5" bestFit="1" customWidth="1"/>
    <col min="25" max="25" width="7" bestFit="1" customWidth="1"/>
    <col min="26" max="26" width="14.1640625" bestFit="1" customWidth="1"/>
    <col min="27" max="27" width="16.6640625" bestFit="1" customWidth="1"/>
  </cols>
  <sheetData>
    <row r="3" spans="1:3" x14ac:dyDescent="0.2">
      <c r="A3" s="3" t="s">
        <v>89</v>
      </c>
      <c r="B3" t="s">
        <v>93</v>
      </c>
    </row>
    <row r="4" spans="1:3" x14ac:dyDescent="0.2">
      <c r="A4" s="4" t="s">
        <v>24</v>
      </c>
      <c r="B4" s="7">
        <v>105.5</v>
      </c>
    </row>
    <row r="5" spans="1:3" x14ac:dyDescent="0.2">
      <c r="A5" s="5" t="s">
        <v>91</v>
      </c>
      <c r="B5" s="7">
        <v>14</v>
      </c>
    </row>
    <row r="6" spans="1:3" x14ac:dyDescent="0.2">
      <c r="A6" s="6" t="s">
        <v>96</v>
      </c>
      <c r="B6" s="7">
        <v>5</v>
      </c>
      <c r="C6" t="s">
        <v>105</v>
      </c>
    </row>
    <row r="7" spans="1:3" x14ac:dyDescent="0.2">
      <c r="A7" s="6" t="s">
        <v>94</v>
      </c>
      <c r="B7" s="7">
        <v>3</v>
      </c>
      <c r="C7" t="s">
        <v>105</v>
      </c>
    </row>
    <row r="8" spans="1:3" x14ac:dyDescent="0.2">
      <c r="A8" s="6" t="s">
        <v>95</v>
      </c>
      <c r="B8" s="7">
        <v>3</v>
      </c>
      <c r="C8" t="s">
        <v>105</v>
      </c>
    </row>
    <row r="9" spans="1:3" x14ac:dyDescent="0.2">
      <c r="A9" s="6" t="s">
        <v>97</v>
      </c>
      <c r="B9" s="7">
        <v>3</v>
      </c>
      <c r="C9" t="s">
        <v>105</v>
      </c>
    </row>
    <row r="10" spans="1:3" x14ac:dyDescent="0.2">
      <c r="A10" s="5" t="s">
        <v>92</v>
      </c>
      <c r="B10" s="7">
        <v>91.5</v>
      </c>
    </row>
    <row r="11" spans="1:3" x14ac:dyDescent="0.2">
      <c r="A11" s="6" t="s">
        <v>98</v>
      </c>
      <c r="B11" s="7">
        <v>4</v>
      </c>
      <c r="C11" t="s">
        <v>105</v>
      </c>
    </row>
    <row r="12" spans="1:3" x14ac:dyDescent="0.2">
      <c r="A12" s="6" t="s">
        <v>99</v>
      </c>
      <c r="B12" s="7">
        <v>11</v>
      </c>
      <c r="C12">
        <f>GETPIVOTDATA("Hours",$A$3,"Client","John","Days (Date)",33,"Months (Date)",2)-3</f>
        <v>8</v>
      </c>
    </row>
    <row r="13" spans="1:3" x14ac:dyDescent="0.2">
      <c r="A13" s="6" t="s">
        <v>100</v>
      </c>
      <c r="B13" s="7">
        <v>12.5</v>
      </c>
      <c r="C13">
        <f>GETPIVOTDATA("Hours",$A$3,"Client","John","Days (Date)",34,"Months (Date)",2)-4.5</f>
        <v>8</v>
      </c>
    </row>
    <row r="14" spans="1:3" x14ac:dyDescent="0.2">
      <c r="A14" s="6" t="s">
        <v>101</v>
      </c>
      <c r="B14" s="7">
        <v>13</v>
      </c>
      <c r="C14">
        <f>GETPIVOTDATA("Hours",$A$3,"Client","John","Days (Date)",35,"Months (Date)",2)-5</f>
        <v>8</v>
      </c>
    </row>
    <row r="15" spans="1:3" x14ac:dyDescent="0.2">
      <c r="A15" s="6" t="s">
        <v>102</v>
      </c>
      <c r="B15" s="7">
        <v>13</v>
      </c>
      <c r="C15">
        <f>GETPIVOTDATA("Hours",$A$3,"Client","John","Days (Date)",36,"Months (Date)",2)-5</f>
        <v>8</v>
      </c>
    </row>
    <row r="16" spans="1:3" x14ac:dyDescent="0.2">
      <c r="A16" s="6" t="s">
        <v>103</v>
      </c>
      <c r="B16" s="7">
        <v>13</v>
      </c>
      <c r="C16">
        <f>GETPIVOTDATA("Hours",$A$3,"Client","John","Days (Date)",37,"Months (Date)",2)-5</f>
        <v>8</v>
      </c>
    </row>
    <row r="17" spans="1:2" x14ac:dyDescent="0.2">
      <c r="A17" s="6" t="s">
        <v>104</v>
      </c>
      <c r="B17" s="7">
        <v>25</v>
      </c>
    </row>
    <row r="18" spans="1:2" x14ac:dyDescent="0.2">
      <c r="A18" s="8">
        <v>46061</v>
      </c>
      <c r="B18" s="7">
        <v>25</v>
      </c>
    </row>
    <row r="19" spans="1:2" x14ac:dyDescent="0.2">
      <c r="A19" s="9" t="s">
        <v>26</v>
      </c>
      <c r="B19" s="7">
        <v>14</v>
      </c>
    </row>
    <row r="20" spans="1:2" x14ac:dyDescent="0.2">
      <c r="A20" s="9" t="s">
        <v>55</v>
      </c>
      <c r="B20" s="7">
        <v>3</v>
      </c>
    </row>
    <row r="21" spans="1:2" x14ac:dyDescent="0.2">
      <c r="A21" s="9" t="s">
        <v>58</v>
      </c>
      <c r="B21" s="7">
        <v>8</v>
      </c>
    </row>
    <row r="22" spans="1:2" x14ac:dyDescent="0.2">
      <c r="A22" s="4" t="s">
        <v>90</v>
      </c>
      <c r="B22" s="7">
        <v>105.5</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7D874F-4510-1B44-A24D-74E3DE0BE5F1}">
  <sheetPr filterMode="1"/>
  <dimension ref="A1:P53"/>
  <sheetViews>
    <sheetView workbookViewId="0">
      <selection activeCell="H24" sqref="H24"/>
    </sheetView>
  </sheetViews>
  <sheetFormatPr baseColWidth="10" defaultRowHeight="16" x14ac:dyDescent="0.2"/>
  <sheetData>
    <row r="1" spans="1:16" x14ac:dyDescent="0.2">
      <c r="A1" t="s">
        <v>0</v>
      </c>
      <c r="B1" t="s">
        <v>1</v>
      </c>
      <c r="C1" t="s">
        <v>2</v>
      </c>
      <c r="D1" t="s">
        <v>3</v>
      </c>
      <c r="E1" t="s">
        <v>4</v>
      </c>
      <c r="F1" t="s">
        <v>5</v>
      </c>
      <c r="G1" t="s">
        <v>6</v>
      </c>
      <c r="H1" t="s">
        <v>7</v>
      </c>
      <c r="I1" t="s">
        <v>8</v>
      </c>
      <c r="J1" t="s">
        <v>9</v>
      </c>
      <c r="K1" t="s">
        <v>10</v>
      </c>
      <c r="L1" t="s">
        <v>11</v>
      </c>
      <c r="M1" t="s">
        <v>12</v>
      </c>
      <c r="N1" t="s">
        <v>13</v>
      </c>
      <c r="O1" t="s">
        <v>14</v>
      </c>
      <c r="P1" t="s">
        <v>15</v>
      </c>
    </row>
    <row r="2" spans="1:16" hidden="1" x14ac:dyDescent="0.2">
      <c r="A2" s="1">
        <v>46048</v>
      </c>
      <c r="B2" t="s">
        <v>16</v>
      </c>
      <c r="C2" t="s">
        <v>17</v>
      </c>
      <c r="D2" t="s">
        <v>18</v>
      </c>
      <c r="E2" t="s">
        <v>19</v>
      </c>
      <c r="F2" s="2">
        <v>0.8125</v>
      </c>
      <c r="G2" s="2">
        <v>0.83333333333333337</v>
      </c>
      <c r="H2">
        <v>0.5</v>
      </c>
      <c r="I2">
        <v>30</v>
      </c>
      <c r="J2">
        <v>0</v>
      </c>
      <c r="K2">
        <v>0</v>
      </c>
      <c r="L2">
        <v>15</v>
      </c>
      <c r="M2">
        <v>0</v>
      </c>
      <c r="N2">
        <v>15</v>
      </c>
      <c r="O2" t="s">
        <v>20</v>
      </c>
      <c r="P2" t="s">
        <v>21</v>
      </c>
    </row>
    <row r="3" spans="1:16" hidden="1" x14ac:dyDescent="0.2">
      <c r="A3" s="1">
        <v>46048</v>
      </c>
      <c r="B3" t="s">
        <v>16</v>
      </c>
      <c r="C3" t="s">
        <v>22</v>
      </c>
      <c r="D3" t="s">
        <v>18</v>
      </c>
      <c r="E3" t="s">
        <v>19</v>
      </c>
      <c r="F3" s="2">
        <v>0.79166666666666663</v>
      </c>
      <c r="G3" s="2">
        <v>0.8125</v>
      </c>
      <c r="H3">
        <v>0.5</v>
      </c>
      <c r="I3">
        <v>30</v>
      </c>
      <c r="J3">
        <v>0</v>
      </c>
      <c r="K3">
        <v>0</v>
      </c>
      <c r="L3">
        <v>15</v>
      </c>
      <c r="M3">
        <v>0</v>
      </c>
      <c r="N3">
        <v>15</v>
      </c>
      <c r="O3" t="s">
        <v>20</v>
      </c>
      <c r="P3" t="s">
        <v>23</v>
      </c>
    </row>
    <row r="4" spans="1:16" hidden="1" x14ac:dyDescent="0.2">
      <c r="A4" s="1">
        <v>46049</v>
      </c>
      <c r="B4" t="s">
        <v>16</v>
      </c>
      <c r="C4" t="s">
        <v>24</v>
      </c>
      <c r="D4" t="s">
        <v>25</v>
      </c>
      <c r="E4" t="s">
        <v>26</v>
      </c>
      <c r="F4" s="2">
        <v>0.375</v>
      </c>
      <c r="G4" s="2">
        <v>0.58333333333333337</v>
      </c>
      <c r="H4">
        <v>5</v>
      </c>
      <c r="I4">
        <v>30</v>
      </c>
      <c r="J4">
        <v>5</v>
      </c>
      <c r="K4">
        <v>0.85</v>
      </c>
      <c r="L4">
        <v>150</v>
      </c>
      <c r="M4">
        <v>4.25</v>
      </c>
      <c r="N4">
        <v>154.25</v>
      </c>
      <c r="O4" t="s">
        <v>20</v>
      </c>
      <c r="P4" t="s">
        <v>27</v>
      </c>
    </row>
    <row r="5" spans="1:16" hidden="1" x14ac:dyDescent="0.2">
      <c r="A5" s="1">
        <v>46049</v>
      </c>
      <c r="B5" t="s">
        <v>16</v>
      </c>
      <c r="C5" t="s">
        <v>28</v>
      </c>
      <c r="D5" t="s">
        <v>29</v>
      </c>
      <c r="E5" t="s">
        <v>19</v>
      </c>
      <c r="F5" s="2">
        <v>0.66666666666666663</v>
      </c>
      <c r="G5" s="2">
        <v>0.75</v>
      </c>
      <c r="H5">
        <v>2</v>
      </c>
      <c r="I5">
        <v>30</v>
      </c>
      <c r="J5">
        <v>0</v>
      </c>
      <c r="K5">
        <v>0</v>
      </c>
      <c r="L5">
        <v>60</v>
      </c>
      <c r="M5">
        <v>0</v>
      </c>
      <c r="N5">
        <v>60</v>
      </c>
      <c r="O5" t="s">
        <v>20</v>
      </c>
      <c r="P5" t="s">
        <v>30</v>
      </c>
    </row>
    <row r="6" spans="1:16" hidden="1" x14ac:dyDescent="0.2">
      <c r="A6" s="1">
        <v>46050</v>
      </c>
      <c r="B6" t="s">
        <v>16</v>
      </c>
      <c r="C6" t="s">
        <v>24</v>
      </c>
      <c r="D6" t="s">
        <v>25</v>
      </c>
      <c r="E6" t="s">
        <v>26</v>
      </c>
      <c r="F6" s="2">
        <v>0.375</v>
      </c>
      <c r="G6" s="2">
        <v>0.5</v>
      </c>
      <c r="H6">
        <v>3</v>
      </c>
      <c r="I6">
        <v>30</v>
      </c>
      <c r="J6">
        <v>5</v>
      </c>
      <c r="K6">
        <v>0.85</v>
      </c>
      <c r="L6">
        <v>90</v>
      </c>
      <c r="M6">
        <v>4.25</v>
      </c>
      <c r="N6">
        <v>94.25</v>
      </c>
      <c r="O6" t="s">
        <v>20</v>
      </c>
      <c r="P6" t="s">
        <v>31</v>
      </c>
    </row>
    <row r="7" spans="1:16" hidden="1" x14ac:dyDescent="0.2">
      <c r="A7" s="1">
        <v>46050</v>
      </c>
      <c r="B7" t="s">
        <v>16</v>
      </c>
      <c r="C7" t="s">
        <v>32</v>
      </c>
      <c r="D7" t="s">
        <v>33</v>
      </c>
      <c r="E7" t="s">
        <v>19</v>
      </c>
      <c r="F7" s="2">
        <v>0.625</v>
      </c>
      <c r="G7" s="2">
        <v>0.66666666666666663</v>
      </c>
      <c r="H7">
        <v>1</v>
      </c>
      <c r="I7">
        <v>30</v>
      </c>
      <c r="J7">
        <v>26</v>
      </c>
      <c r="K7">
        <v>0.85</v>
      </c>
      <c r="L7">
        <v>30</v>
      </c>
      <c r="M7">
        <v>22.099999999999898</v>
      </c>
      <c r="N7">
        <v>52.099999999999902</v>
      </c>
      <c r="O7" t="s">
        <v>20</v>
      </c>
      <c r="P7" t="s">
        <v>34</v>
      </c>
    </row>
    <row r="8" spans="1:16" hidden="1" x14ac:dyDescent="0.2">
      <c r="A8" s="1">
        <v>46050</v>
      </c>
      <c r="B8" t="s">
        <v>16</v>
      </c>
      <c r="C8" t="s">
        <v>35</v>
      </c>
      <c r="D8" t="s">
        <v>33</v>
      </c>
      <c r="E8" t="s">
        <v>26</v>
      </c>
      <c r="F8" s="2">
        <v>0.5</v>
      </c>
      <c r="G8" s="2">
        <v>0.58333333333333337</v>
      </c>
      <c r="H8">
        <v>2</v>
      </c>
      <c r="I8">
        <v>30</v>
      </c>
      <c r="J8">
        <v>23</v>
      </c>
      <c r="K8">
        <v>0.85</v>
      </c>
      <c r="L8">
        <v>60</v>
      </c>
      <c r="M8">
        <v>19.55</v>
      </c>
      <c r="N8">
        <v>79.55</v>
      </c>
      <c r="O8" t="s">
        <v>20</v>
      </c>
      <c r="P8" t="s">
        <v>36</v>
      </c>
    </row>
    <row r="9" spans="1:16" hidden="1" x14ac:dyDescent="0.2">
      <c r="A9" s="1">
        <v>46051</v>
      </c>
      <c r="B9" t="s">
        <v>16</v>
      </c>
      <c r="C9" t="s">
        <v>24</v>
      </c>
      <c r="D9" t="s">
        <v>25</v>
      </c>
      <c r="E9" t="s">
        <v>26</v>
      </c>
      <c r="F9" s="2">
        <v>0.375</v>
      </c>
      <c r="G9" s="2">
        <v>0.5</v>
      </c>
      <c r="H9">
        <v>3</v>
      </c>
      <c r="I9">
        <v>30</v>
      </c>
      <c r="J9">
        <v>16</v>
      </c>
      <c r="K9">
        <v>0.85</v>
      </c>
      <c r="L9">
        <v>90</v>
      </c>
      <c r="M9">
        <v>13.6</v>
      </c>
      <c r="N9">
        <v>103.6</v>
      </c>
      <c r="O9" t="s">
        <v>20</v>
      </c>
      <c r="P9" t="s">
        <v>37</v>
      </c>
    </row>
    <row r="10" spans="1:16" hidden="1" x14ac:dyDescent="0.2">
      <c r="A10" s="1">
        <v>46051</v>
      </c>
      <c r="B10" t="s">
        <v>16</v>
      </c>
      <c r="C10" t="s">
        <v>35</v>
      </c>
      <c r="D10" t="s">
        <v>33</v>
      </c>
      <c r="E10" t="s">
        <v>26</v>
      </c>
      <c r="F10" s="2">
        <v>0.5</v>
      </c>
      <c r="G10" s="2">
        <v>0.58333333333333337</v>
      </c>
      <c r="H10">
        <v>2</v>
      </c>
      <c r="I10">
        <v>30</v>
      </c>
      <c r="J10">
        <v>22</v>
      </c>
      <c r="K10">
        <v>0.85</v>
      </c>
      <c r="L10">
        <v>60</v>
      </c>
      <c r="M10">
        <v>18.7</v>
      </c>
      <c r="N10">
        <v>78.7</v>
      </c>
      <c r="O10" t="s">
        <v>20</v>
      </c>
      <c r="P10" t="s">
        <v>38</v>
      </c>
    </row>
    <row r="11" spans="1:16" hidden="1" x14ac:dyDescent="0.2">
      <c r="A11" s="1">
        <v>46051</v>
      </c>
      <c r="B11" t="s">
        <v>16</v>
      </c>
      <c r="C11" t="s">
        <v>28</v>
      </c>
      <c r="D11" t="s">
        <v>33</v>
      </c>
      <c r="E11" t="s">
        <v>26</v>
      </c>
      <c r="F11" s="2">
        <v>0.66666666666666663</v>
      </c>
      <c r="G11" s="2">
        <v>0.75</v>
      </c>
      <c r="H11">
        <v>2</v>
      </c>
      <c r="I11">
        <v>30</v>
      </c>
      <c r="J11">
        <v>24</v>
      </c>
      <c r="K11">
        <v>0.85</v>
      </c>
      <c r="L11">
        <v>60</v>
      </c>
      <c r="M11">
        <v>20.399999999999999</v>
      </c>
      <c r="N11">
        <v>80.400000000000006</v>
      </c>
      <c r="O11" t="s">
        <v>20</v>
      </c>
      <c r="P11" t="s">
        <v>39</v>
      </c>
    </row>
    <row r="12" spans="1:16" hidden="1" x14ac:dyDescent="0.2">
      <c r="A12" s="1">
        <v>46052</v>
      </c>
      <c r="B12" t="s">
        <v>16</v>
      </c>
      <c r="C12" t="s">
        <v>40</v>
      </c>
      <c r="D12" t="s">
        <v>33</v>
      </c>
      <c r="E12" t="s">
        <v>26</v>
      </c>
      <c r="F12" s="2">
        <v>0.375</v>
      </c>
      <c r="G12" s="2">
        <v>0.41666666666666669</v>
      </c>
      <c r="H12">
        <v>1</v>
      </c>
      <c r="I12">
        <v>30</v>
      </c>
      <c r="J12">
        <v>8</v>
      </c>
      <c r="K12">
        <v>0.85</v>
      </c>
      <c r="L12">
        <v>30</v>
      </c>
      <c r="M12">
        <v>6.8</v>
      </c>
      <c r="N12">
        <v>36.799999999999997</v>
      </c>
      <c r="O12" t="s">
        <v>20</v>
      </c>
      <c r="P12" t="s">
        <v>41</v>
      </c>
    </row>
    <row r="13" spans="1:16" hidden="1" x14ac:dyDescent="0.2">
      <c r="A13" s="1">
        <v>46052</v>
      </c>
      <c r="B13" t="s">
        <v>16</v>
      </c>
      <c r="C13" t="s">
        <v>42</v>
      </c>
      <c r="D13" t="s">
        <v>33</v>
      </c>
      <c r="E13" t="s">
        <v>26</v>
      </c>
      <c r="F13" s="2">
        <v>0.41666666666666669</v>
      </c>
      <c r="G13" s="2">
        <v>0.58333333333333337</v>
      </c>
      <c r="H13">
        <v>4</v>
      </c>
      <c r="I13">
        <v>30</v>
      </c>
      <c r="J13">
        <v>24</v>
      </c>
      <c r="K13">
        <v>0.85</v>
      </c>
      <c r="L13">
        <v>120</v>
      </c>
      <c r="M13">
        <v>20.399999999999999</v>
      </c>
      <c r="N13">
        <v>140.4</v>
      </c>
      <c r="O13" t="s">
        <v>20</v>
      </c>
      <c r="P13" t="s">
        <v>43</v>
      </c>
    </row>
    <row r="14" spans="1:16" x14ac:dyDescent="0.2">
      <c r="A14" s="1">
        <v>46052</v>
      </c>
      <c r="B14" t="s">
        <v>16</v>
      </c>
      <c r="C14" t="s">
        <v>28</v>
      </c>
      <c r="D14" t="s">
        <v>29</v>
      </c>
      <c r="E14" t="s">
        <v>19</v>
      </c>
      <c r="F14" s="2">
        <v>0.72916666666666663</v>
      </c>
      <c r="G14" s="2">
        <v>0.8125</v>
      </c>
      <c r="H14">
        <v>2</v>
      </c>
      <c r="I14">
        <v>30</v>
      </c>
      <c r="J14">
        <v>0</v>
      </c>
      <c r="K14">
        <v>0</v>
      </c>
      <c r="L14">
        <v>240</v>
      </c>
      <c r="M14">
        <v>0</v>
      </c>
      <c r="N14">
        <v>240</v>
      </c>
      <c r="O14" t="s">
        <v>20</v>
      </c>
      <c r="P14" t="s">
        <v>44</v>
      </c>
    </row>
    <row r="15" spans="1:16" hidden="1" x14ac:dyDescent="0.2">
      <c r="A15" s="1">
        <v>46053</v>
      </c>
      <c r="B15" t="s">
        <v>16</v>
      </c>
      <c r="C15" t="s">
        <v>24</v>
      </c>
      <c r="D15" t="s">
        <v>25</v>
      </c>
      <c r="E15" t="s">
        <v>26</v>
      </c>
      <c r="F15" s="2">
        <v>0.375</v>
      </c>
      <c r="G15" s="2">
        <v>0.5</v>
      </c>
      <c r="H15">
        <v>3</v>
      </c>
      <c r="I15">
        <v>45</v>
      </c>
      <c r="J15">
        <v>8</v>
      </c>
      <c r="K15">
        <v>0.85</v>
      </c>
      <c r="L15">
        <v>135</v>
      </c>
      <c r="M15">
        <v>6.8</v>
      </c>
      <c r="N15">
        <v>141.80000000000001</v>
      </c>
      <c r="O15" t="s">
        <v>20</v>
      </c>
      <c r="P15" t="s">
        <v>45</v>
      </c>
    </row>
    <row r="16" spans="1:16" hidden="1" x14ac:dyDescent="0.2">
      <c r="A16" s="1">
        <v>46054</v>
      </c>
      <c r="B16" t="s">
        <v>16</v>
      </c>
      <c r="C16" t="s">
        <v>24</v>
      </c>
      <c r="D16" t="s">
        <v>33</v>
      </c>
      <c r="E16" t="s">
        <v>26</v>
      </c>
      <c r="F16" s="2">
        <v>0.41666666666666669</v>
      </c>
      <c r="G16" s="2">
        <v>0.5</v>
      </c>
      <c r="H16">
        <v>2</v>
      </c>
      <c r="I16">
        <v>45</v>
      </c>
      <c r="J16">
        <v>0</v>
      </c>
      <c r="K16">
        <v>0</v>
      </c>
      <c r="L16">
        <v>90</v>
      </c>
      <c r="M16">
        <v>0</v>
      </c>
      <c r="N16">
        <v>90</v>
      </c>
      <c r="O16" t="s">
        <v>20</v>
      </c>
      <c r="P16" t="s">
        <v>46</v>
      </c>
    </row>
    <row r="17" spans="1:16" hidden="1" x14ac:dyDescent="0.2">
      <c r="A17" s="1">
        <v>46054</v>
      </c>
      <c r="B17" t="s">
        <v>16</v>
      </c>
      <c r="C17" t="s">
        <v>24</v>
      </c>
      <c r="D17" t="s">
        <v>25</v>
      </c>
      <c r="E17" t="s">
        <v>19</v>
      </c>
      <c r="F17" s="2">
        <v>0.66666666666666663</v>
      </c>
      <c r="G17" s="2">
        <v>0.75</v>
      </c>
      <c r="H17">
        <v>2</v>
      </c>
      <c r="I17">
        <v>45</v>
      </c>
      <c r="J17">
        <v>0</v>
      </c>
      <c r="K17">
        <v>0</v>
      </c>
      <c r="L17">
        <v>90</v>
      </c>
      <c r="M17">
        <v>0</v>
      </c>
      <c r="N17">
        <v>90</v>
      </c>
      <c r="O17" t="s">
        <v>20</v>
      </c>
      <c r="P17" t="s">
        <v>47</v>
      </c>
    </row>
    <row r="18" spans="1:16" hidden="1" x14ac:dyDescent="0.2">
      <c r="A18" s="1">
        <v>46054</v>
      </c>
      <c r="B18" t="s">
        <v>16</v>
      </c>
      <c r="C18" t="s">
        <v>22</v>
      </c>
      <c r="D18" t="s">
        <v>18</v>
      </c>
      <c r="E18" t="s">
        <v>19</v>
      </c>
      <c r="F18" s="2">
        <v>0.79166666666666663</v>
      </c>
      <c r="G18" s="2">
        <v>0.8125</v>
      </c>
      <c r="H18">
        <v>0.5</v>
      </c>
      <c r="I18">
        <v>45</v>
      </c>
      <c r="J18">
        <v>0</v>
      </c>
      <c r="K18">
        <v>0</v>
      </c>
      <c r="L18">
        <v>22.5</v>
      </c>
      <c r="M18">
        <v>0</v>
      </c>
      <c r="N18">
        <v>22.5</v>
      </c>
      <c r="O18" t="s">
        <v>20</v>
      </c>
      <c r="P18" t="s">
        <v>48</v>
      </c>
    </row>
    <row r="19" spans="1:16" hidden="1" x14ac:dyDescent="0.2">
      <c r="A19" s="1">
        <v>46054</v>
      </c>
      <c r="B19" t="s">
        <v>16</v>
      </c>
      <c r="C19" t="s">
        <v>17</v>
      </c>
      <c r="D19" t="s">
        <v>18</v>
      </c>
      <c r="E19" t="s">
        <v>19</v>
      </c>
      <c r="F19" s="2">
        <v>0.8125</v>
      </c>
      <c r="G19" s="2">
        <v>0.83333333333333337</v>
      </c>
      <c r="H19">
        <v>0.5</v>
      </c>
      <c r="I19">
        <v>45</v>
      </c>
      <c r="J19">
        <v>0</v>
      </c>
      <c r="K19">
        <v>0</v>
      </c>
      <c r="L19">
        <v>22.5</v>
      </c>
      <c r="M19">
        <v>0</v>
      </c>
      <c r="N19">
        <v>22.5</v>
      </c>
      <c r="O19" t="s">
        <v>20</v>
      </c>
      <c r="P19" t="s">
        <v>48</v>
      </c>
    </row>
    <row r="20" spans="1:16" hidden="1" x14ac:dyDescent="0.2">
      <c r="A20" s="1">
        <v>46055</v>
      </c>
      <c r="B20" t="s">
        <v>16</v>
      </c>
      <c r="C20" t="s">
        <v>49</v>
      </c>
      <c r="D20" t="s">
        <v>33</v>
      </c>
      <c r="E20" t="s">
        <v>26</v>
      </c>
      <c r="F20" s="2">
        <v>0.41666666666666669</v>
      </c>
      <c r="G20" s="2">
        <v>0.47916666666666669</v>
      </c>
      <c r="H20">
        <v>1.5</v>
      </c>
      <c r="I20">
        <v>30</v>
      </c>
      <c r="J20">
        <v>39</v>
      </c>
      <c r="K20">
        <v>0.85</v>
      </c>
      <c r="L20">
        <v>45</v>
      </c>
      <c r="M20">
        <v>33.15</v>
      </c>
      <c r="N20">
        <v>78.150000000000006</v>
      </c>
      <c r="O20" t="s">
        <v>20</v>
      </c>
      <c r="P20" t="s">
        <v>50</v>
      </c>
    </row>
    <row r="21" spans="1:16" hidden="1" x14ac:dyDescent="0.2">
      <c r="A21" s="1">
        <v>46055</v>
      </c>
      <c r="B21" t="s">
        <v>16</v>
      </c>
      <c r="C21" t="s">
        <v>51</v>
      </c>
      <c r="D21" t="s">
        <v>25</v>
      </c>
      <c r="E21" t="s">
        <v>19</v>
      </c>
      <c r="F21" s="2">
        <v>0.60416666666666663</v>
      </c>
      <c r="G21" s="2">
        <v>0.83333333333333337</v>
      </c>
      <c r="H21">
        <v>5.5</v>
      </c>
      <c r="I21">
        <v>30</v>
      </c>
      <c r="J21">
        <v>0</v>
      </c>
      <c r="K21">
        <v>0</v>
      </c>
      <c r="L21">
        <v>165</v>
      </c>
      <c r="M21">
        <v>0</v>
      </c>
      <c r="N21">
        <v>165</v>
      </c>
      <c r="O21" t="s">
        <v>20</v>
      </c>
      <c r="P21" t="s">
        <v>52</v>
      </c>
    </row>
    <row r="22" spans="1:16" hidden="1" x14ac:dyDescent="0.2">
      <c r="A22" s="1">
        <v>46055</v>
      </c>
      <c r="B22" t="s">
        <v>16</v>
      </c>
      <c r="C22" t="s">
        <v>35</v>
      </c>
      <c r="D22" t="s">
        <v>33</v>
      </c>
      <c r="E22" t="s">
        <v>26</v>
      </c>
      <c r="F22" s="2">
        <v>0.5</v>
      </c>
      <c r="G22" s="2">
        <v>0.58333333333333337</v>
      </c>
      <c r="H22">
        <v>2</v>
      </c>
      <c r="I22">
        <v>30</v>
      </c>
      <c r="J22">
        <v>24</v>
      </c>
      <c r="K22">
        <v>0.85</v>
      </c>
      <c r="L22">
        <v>60</v>
      </c>
      <c r="M22">
        <v>20.399999999999999</v>
      </c>
      <c r="N22">
        <v>80.400000000000006</v>
      </c>
      <c r="O22" t="s">
        <v>20</v>
      </c>
      <c r="P22" t="s">
        <v>53</v>
      </c>
    </row>
    <row r="23" spans="1:16" hidden="1" x14ac:dyDescent="0.2">
      <c r="A23" s="1">
        <v>46055</v>
      </c>
      <c r="B23" t="s">
        <v>16</v>
      </c>
      <c r="C23" t="s">
        <v>24</v>
      </c>
      <c r="D23" t="s">
        <v>54</v>
      </c>
      <c r="E23" t="s">
        <v>55</v>
      </c>
      <c r="F23" s="2">
        <v>0.83333333333333337</v>
      </c>
      <c r="G23" s="2">
        <v>0.95833333333333337</v>
      </c>
      <c r="H23">
        <v>3</v>
      </c>
      <c r="I23">
        <v>30</v>
      </c>
      <c r="J23">
        <v>0</v>
      </c>
      <c r="K23">
        <v>0</v>
      </c>
      <c r="L23">
        <v>90</v>
      </c>
      <c r="M23">
        <v>0</v>
      </c>
      <c r="N23">
        <v>90</v>
      </c>
      <c r="O23" t="s">
        <v>20</v>
      </c>
      <c r="P23" t="s">
        <v>56</v>
      </c>
    </row>
    <row r="24" spans="1:16" x14ac:dyDescent="0.2">
      <c r="A24" s="1">
        <v>46055</v>
      </c>
      <c r="B24" t="s">
        <v>16</v>
      </c>
      <c r="C24" t="s">
        <v>24</v>
      </c>
      <c r="D24" t="s">
        <v>57</v>
      </c>
      <c r="E24" t="s">
        <v>58</v>
      </c>
      <c r="F24" s="2">
        <v>0.95833333333333337</v>
      </c>
      <c r="G24" s="2">
        <v>0.29166666666666669</v>
      </c>
      <c r="H24">
        <v>8</v>
      </c>
      <c r="I24">
        <v>11.25</v>
      </c>
      <c r="J24">
        <v>0</v>
      </c>
      <c r="K24">
        <v>0</v>
      </c>
      <c r="L24">
        <v>90</v>
      </c>
      <c r="M24">
        <v>0</v>
      </c>
      <c r="N24">
        <v>90</v>
      </c>
      <c r="O24" t="s">
        <v>20</v>
      </c>
      <c r="P24" t="s">
        <v>59</v>
      </c>
    </row>
    <row r="25" spans="1:16" hidden="1" x14ac:dyDescent="0.2">
      <c r="A25" s="1">
        <v>46056</v>
      </c>
      <c r="B25" t="s">
        <v>16</v>
      </c>
      <c r="C25" t="s">
        <v>24</v>
      </c>
      <c r="D25" t="s">
        <v>25</v>
      </c>
      <c r="E25" t="s">
        <v>26</v>
      </c>
      <c r="F25" s="2">
        <v>0.29166666666666669</v>
      </c>
      <c r="G25" s="2">
        <v>0.35416666666666669</v>
      </c>
      <c r="H25">
        <v>1.5</v>
      </c>
      <c r="I25">
        <v>30</v>
      </c>
      <c r="J25">
        <v>0</v>
      </c>
      <c r="K25">
        <v>0</v>
      </c>
      <c r="L25">
        <v>45</v>
      </c>
      <c r="M25">
        <v>0</v>
      </c>
      <c r="N25">
        <v>45</v>
      </c>
      <c r="O25" t="s">
        <v>20</v>
      </c>
      <c r="P25" t="s">
        <v>60</v>
      </c>
    </row>
    <row r="26" spans="1:16" hidden="1" x14ac:dyDescent="0.2">
      <c r="A26" s="1">
        <v>46056</v>
      </c>
      <c r="B26" t="s">
        <v>16</v>
      </c>
      <c r="C26" t="s">
        <v>61</v>
      </c>
      <c r="D26" t="s">
        <v>33</v>
      </c>
      <c r="E26" t="s">
        <v>26</v>
      </c>
      <c r="F26" s="2">
        <v>0.35416666666666669</v>
      </c>
      <c r="G26" s="2">
        <v>0.4375</v>
      </c>
      <c r="H26">
        <v>2</v>
      </c>
      <c r="I26">
        <v>30</v>
      </c>
      <c r="J26">
        <v>49</v>
      </c>
      <c r="K26">
        <v>0.85</v>
      </c>
      <c r="L26">
        <v>60</v>
      </c>
      <c r="M26">
        <v>41.65</v>
      </c>
      <c r="N26">
        <v>101.65</v>
      </c>
      <c r="O26" t="s">
        <v>20</v>
      </c>
      <c r="P26" t="s">
        <v>62</v>
      </c>
    </row>
    <row r="27" spans="1:16" hidden="1" x14ac:dyDescent="0.2">
      <c r="A27" s="1">
        <v>46056</v>
      </c>
      <c r="B27" t="s">
        <v>16</v>
      </c>
      <c r="C27" t="s">
        <v>35</v>
      </c>
      <c r="D27" t="s">
        <v>33</v>
      </c>
      <c r="E27" t="s">
        <v>26</v>
      </c>
      <c r="F27" s="2">
        <v>0.5</v>
      </c>
      <c r="G27" s="2">
        <v>0.58333333333333337</v>
      </c>
      <c r="H27">
        <v>2</v>
      </c>
      <c r="I27">
        <v>30</v>
      </c>
      <c r="J27">
        <v>25</v>
      </c>
      <c r="K27">
        <v>0.85</v>
      </c>
      <c r="L27">
        <v>60</v>
      </c>
      <c r="M27">
        <v>21.25</v>
      </c>
      <c r="N27">
        <v>81.25</v>
      </c>
      <c r="O27" t="s">
        <v>20</v>
      </c>
      <c r="P27" t="s">
        <v>63</v>
      </c>
    </row>
    <row r="28" spans="1:16" hidden="1" x14ac:dyDescent="0.2">
      <c r="A28" s="1">
        <v>46056</v>
      </c>
      <c r="B28" t="s">
        <v>16</v>
      </c>
      <c r="C28" t="s">
        <v>28</v>
      </c>
      <c r="D28" t="s">
        <v>29</v>
      </c>
      <c r="E28" t="s">
        <v>19</v>
      </c>
      <c r="F28" s="2">
        <v>0.75</v>
      </c>
      <c r="G28" s="2">
        <v>0.83333333333333337</v>
      </c>
      <c r="H28">
        <v>2</v>
      </c>
      <c r="I28">
        <v>30</v>
      </c>
      <c r="J28">
        <v>4</v>
      </c>
      <c r="K28">
        <v>0.85</v>
      </c>
      <c r="L28">
        <v>60</v>
      </c>
      <c r="M28">
        <v>3.4</v>
      </c>
      <c r="N28">
        <v>63.4</v>
      </c>
      <c r="O28" t="s">
        <v>20</v>
      </c>
      <c r="P28" t="s">
        <v>64</v>
      </c>
    </row>
    <row r="29" spans="1:16" hidden="1" x14ac:dyDescent="0.2">
      <c r="A29" s="1">
        <v>46057</v>
      </c>
      <c r="B29" t="s">
        <v>16</v>
      </c>
      <c r="C29" t="s">
        <v>24</v>
      </c>
      <c r="D29" t="s">
        <v>25</v>
      </c>
      <c r="E29" t="s">
        <v>26</v>
      </c>
      <c r="F29" s="2">
        <v>0.29166666666666669</v>
      </c>
      <c r="G29" s="2">
        <v>0.375</v>
      </c>
      <c r="H29">
        <v>2</v>
      </c>
      <c r="I29">
        <v>30</v>
      </c>
      <c r="J29">
        <v>0</v>
      </c>
      <c r="K29">
        <v>0</v>
      </c>
      <c r="L29">
        <v>60</v>
      </c>
      <c r="M29">
        <v>0</v>
      </c>
      <c r="N29">
        <v>60</v>
      </c>
      <c r="O29" t="s">
        <v>20</v>
      </c>
      <c r="P29" t="s">
        <v>65</v>
      </c>
    </row>
    <row r="30" spans="1:16" hidden="1" x14ac:dyDescent="0.2">
      <c r="A30" s="1">
        <v>46057</v>
      </c>
      <c r="B30" t="s">
        <v>16</v>
      </c>
      <c r="C30" t="s">
        <v>35</v>
      </c>
      <c r="D30" t="s">
        <v>33</v>
      </c>
      <c r="E30" t="s">
        <v>26</v>
      </c>
      <c r="F30" s="2">
        <v>0.5</v>
      </c>
      <c r="G30" s="2">
        <v>0.58333333333333337</v>
      </c>
      <c r="H30">
        <v>2</v>
      </c>
      <c r="I30">
        <v>30</v>
      </c>
      <c r="J30">
        <v>25</v>
      </c>
      <c r="K30">
        <v>0.85</v>
      </c>
      <c r="L30">
        <v>60</v>
      </c>
      <c r="M30">
        <v>21.25</v>
      </c>
      <c r="N30">
        <v>81.25</v>
      </c>
      <c r="O30" t="s">
        <v>20</v>
      </c>
      <c r="P30" t="s">
        <v>66</v>
      </c>
    </row>
    <row r="31" spans="1:16" hidden="1" x14ac:dyDescent="0.2">
      <c r="A31" s="1">
        <v>46057</v>
      </c>
      <c r="B31" t="s">
        <v>16</v>
      </c>
      <c r="C31" t="s">
        <v>32</v>
      </c>
      <c r="D31" t="s">
        <v>33</v>
      </c>
      <c r="E31" t="s">
        <v>19</v>
      </c>
      <c r="F31" s="2">
        <v>0.625</v>
      </c>
      <c r="G31" s="2">
        <v>0.66666666666666663</v>
      </c>
      <c r="H31">
        <v>1</v>
      </c>
      <c r="I31">
        <v>30</v>
      </c>
      <c r="J31">
        <v>25</v>
      </c>
      <c r="K31">
        <v>0.85</v>
      </c>
      <c r="L31">
        <v>30</v>
      </c>
      <c r="M31">
        <v>21.25</v>
      </c>
      <c r="N31">
        <v>51.25</v>
      </c>
      <c r="O31" t="s">
        <v>20</v>
      </c>
      <c r="P31" t="s">
        <v>67</v>
      </c>
    </row>
    <row r="32" spans="1:16" hidden="1" x14ac:dyDescent="0.2">
      <c r="A32" s="1">
        <v>46057</v>
      </c>
      <c r="B32" t="s">
        <v>16</v>
      </c>
      <c r="C32" t="s">
        <v>24</v>
      </c>
      <c r="D32" t="s">
        <v>54</v>
      </c>
      <c r="E32" t="s">
        <v>55</v>
      </c>
      <c r="F32" s="2">
        <v>0.83333333333333337</v>
      </c>
      <c r="G32" s="2">
        <v>0.95833333333333337</v>
      </c>
      <c r="H32">
        <v>3</v>
      </c>
      <c r="I32">
        <v>30</v>
      </c>
      <c r="J32">
        <v>0</v>
      </c>
      <c r="K32">
        <v>0</v>
      </c>
      <c r="L32">
        <v>90</v>
      </c>
      <c r="M32">
        <v>0</v>
      </c>
      <c r="N32">
        <v>90</v>
      </c>
      <c r="O32" t="s">
        <v>20</v>
      </c>
      <c r="P32" t="s">
        <v>68</v>
      </c>
    </row>
    <row r="33" spans="1:16" x14ac:dyDescent="0.2">
      <c r="A33" s="1">
        <v>46057</v>
      </c>
      <c r="B33" t="s">
        <v>16</v>
      </c>
      <c r="C33" t="s">
        <v>24</v>
      </c>
      <c r="D33" t="s">
        <v>57</v>
      </c>
      <c r="E33" t="s">
        <v>58</v>
      </c>
      <c r="F33" s="2">
        <v>0.95833333333333337</v>
      </c>
      <c r="G33" s="2">
        <v>0.29166666666666669</v>
      </c>
      <c r="H33">
        <v>8</v>
      </c>
      <c r="I33">
        <v>11.25</v>
      </c>
      <c r="J33">
        <v>0</v>
      </c>
      <c r="K33">
        <v>0</v>
      </c>
      <c r="L33">
        <v>90</v>
      </c>
      <c r="M33">
        <v>0</v>
      </c>
      <c r="N33">
        <v>90</v>
      </c>
      <c r="O33" t="s">
        <v>20</v>
      </c>
      <c r="P33" t="s">
        <v>69</v>
      </c>
    </row>
    <row r="34" spans="1:16" hidden="1" x14ac:dyDescent="0.2">
      <c r="A34" s="1">
        <v>46058</v>
      </c>
      <c r="B34" t="s">
        <v>16</v>
      </c>
      <c r="C34" t="s">
        <v>24</v>
      </c>
      <c r="D34" t="s">
        <v>25</v>
      </c>
      <c r="E34" t="s">
        <v>26</v>
      </c>
      <c r="F34" s="2">
        <v>0.29166666666666669</v>
      </c>
      <c r="G34" s="2">
        <v>0.375</v>
      </c>
      <c r="H34">
        <v>2</v>
      </c>
      <c r="I34">
        <v>30</v>
      </c>
      <c r="J34">
        <v>0</v>
      </c>
      <c r="K34">
        <v>0</v>
      </c>
      <c r="L34">
        <v>60</v>
      </c>
      <c r="M34">
        <v>0</v>
      </c>
      <c r="N34">
        <v>60</v>
      </c>
      <c r="O34" t="s">
        <v>20</v>
      </c>
      <c r="P34" t="s">
        <v>70</v>
      </c>
    </row>
    <row r="35" spans="1:16" hidden="1" x14ac:dyDescent="0.2">
      <c r="A35" s="1">
        <v>46058</v>
      </c>
      <c r="B35" t="s">
        <v>16</v>
      </c>
      <c r="C35" t="s">
        <v>40</v>
      </c>
      <c r="D35" t="s">
        <v>33</v>
      </c>
      <c r="E35" t="s">
        <v>26</v>
      </c>
      <c r="F35" s="2">
        <v>0.375</v>
      </c>
      <c r="G35" s="2">
        <v>0.41666666666666669</v>
      </c>
      <c r="H35">
        <v>1</v>
      </c>
      <c r="I35">
        <v>30</v>
      </c>
      <c r="J35">
        <v>4</v>
      </c>
      <c r="K35">
        <v>0.85</v>
      </c>
      <c r="L35">
        <v>30</v>
      </c>
      <c r="M35">
        <v>3.4</v>
      </c>
      <c r="N35">
        <v>33.4</v>
      </c>
      <c r="O35" t="s">
        <v>20</v>
      </c>
      <c r="P35" t="s">
        <v>71</v>
      </c>
    </row>
    <row r="36" spans="1:16" hidden="1" x14ac:dyDescent="0.2">
      <c r="A36" s="1">
        <v>46058</v>
      </c>
      <c r="B36" t="s">
        <v>16</v>
      </c>
      <c r="C36" t="s">
        <v>35</v>
      </c>
      <c r="D36" t="s">
        <v>33</v>
      </c>
      <c r="E36" t="s">
        <v>26</v>
      </c>
      <c r="F36" s="2">
        <v>0.5</v>
      </c>
      <c r="G36" s="2">
        <v>0.58333333333333337</v>
      </c>
      <c r="H36">
        <v>2</v>
      </c>
      <c r="I36">
        <v>30</v>
      </c>
      <c r="J36">
        <v>32</v>
      </c>
      <c r="K36">
        <v>0.85</v>
      </c>
      <c r="L36">
        <v>60</v>
      </c>
      <c r="M36">
        <v>27.2</v>
      </c>
      <c r="N36">
        <v>87.2</v>
      </c>
      <c r="O36" t="s">
        <v>20</v>
      </c>
      <c r="P36" t="s">
        <v>72</v>
      </c>
    </row>
    <row r="37" spans="1:16" hidden="1" x14ac:dyDescent="0.2">
      <c r="A37" s="1">
        <v>46058</v>
      </c>
      <c r="B37" t="s">
        <v>16</v>
      </c>
      <c r="C37" t="s">
        <v>28</v>
      </c>
      <c r="D37" t="s">
        <v>29</v>
      </c>
      <c r="E37" t="s">
        <v>19</v>
      </c>
      <c r="F37" s="2">
        <v>0.72916666666666663</v>
      </c>
      <c r="G37" s="2">
        <v>0.8125</v>
      </c>
      <c r="H37">
        <v>2</v>
      </c>
      <c r="I37">
        <v>30</v>
      </c>
      <c r="J37">
        <v>24</v>
      </c>
      <c r="K37">
        <v>0.85</v>
      </c>
      <c r="L37">
        <v>60</v>
      </c>
      <c r="M37">
        <v>20.399999999999999</v>
      </c>
      <c r="N37">
        <v>80.400000000000006</v>
      </c>
      <c r="O37" t="s">
        <v>20</v>
      </c>
      <c r="P37" t="s">
        <v>73</v>
      </c>
    </row>
    <row r="38" spans="1:16" hidden="1" x14ac:dyDescent="0.2">
      <c r="A38" s="1">
        <v>46058</v>
      </c>
      <c r="B38" t="s">
        <v>16</v>
      </c>
      <c r="C38" t="s">
        <v>24</v>
      </c>
      <c r="D38" t="s">
        <v>54</v>
      </c>
      <c r="E38" t="s">
        <v>55</v>
      </c>
      <c r="F38" s="2">
        <v>0.83333333333333337</v>
      </c>
      <c r="G38" s="2">
        <v>0.95833333333333337</v>
      </c>
      <c r="H38">
        <v>3</v>
      </c>
      <c r="I38">
        <v>30</v>
      </c>
      <c r="J38">
        <v>0</v>
      </c>
      <c r="K38">
        <v>0</v>
      </c>
      <c r="L38">
        <v>90</v>
      </c>
      <c r="M38">
        <v>0</v>
      </c>
      <c r="N38">
        <v>90</v>
      </c>
      <c r="O38" t="s">
        <v>20</v>
      </c>
      <c r="P38" t="s">
        <v>74</v>
      </c>
    </row>
    <row r="39" spans="1:16" x14ac:dyDescent="0.2">
      <c r="A39" s="1">
        <v>46058</v>
      </c>
      <c r="B39" t="s">
        <v>16</v>
      </c>
      <c r="C39" t="s">
        <v>24</v>
      </c>
      <c r="D39" t="s">
        <v>57</v>
      </c>
      <c r="E39" t="s">
        <v>58</v>
      </c>
      <c r="F39" s="2">
        <v>0.95833333333333337</v>
      </c>
      <c r="G39" s="2">
        <v>0.29166666666666669</v>
      </c>
      <c r="H39">
        <v>8</v>
      </c>
      <c r="I39">
        <v>11.25</v>
      </c>
      <c r="J39">
        <v>0</v>
      </c>
      <c r="K39">
        <v>0</v>
      </c>
      <c r="L39">
        <v>90</v>
      </c>
      <c r="M39">
        <v>0</v>
      </c>
      <c r="N39">
        <v>90</v>
      </c>
      <c r="O39" t="s">
        <v>20</v>
      </c>
      <c r="P39" t="s">
        <v>75</v>
      </c>
    </row>
    <row r="40" spans="1:16" hidden="1" x14ac:dyDescent="0.2">
      <c r="A40" s="1">
        <v>46059</v>
      </c>
      <c r="B40" t="s">
        <v>16</v>
      </c>
      <c r="C40" t="s">
        <v>24</v>
      </c>
      <c r="D40" t="s">
        <v>25</v>
      </c>
      <c r="E40" t="s">
        <v>26</v>
      </c>
      <c r="F40" s="2">
        <v>0.29166666666666669</v>
      </c>
      <c r="G40" s="2">
        <v>0.375</v>
      </c>
      <c r="H40">
        <v>2</v>
      </c>
      <c r="I40">
        <v>30</v>
      </c>
      <c r="J40">
        <v>0</v>
      </c>
      <c r="K40">
        <v>0</v>
      </c>
      <c r="L40">
        <v>60</v>
      </c>
      <c r="M40">
        <v>0</v>
      </c>
      <c r="N40">
        <v>60</v>
      </c>
      <c r="O40" t="s">
        <v>20</v>
      </c>
      <c r="P40" t="s">
        <v>76</v>
      </c>
    </row>
    <row r="41" spans="1:16" hidden="1" x14ac:dyDescent="0.2">
      <c r="A41" s="1">
        <v>46059</v>
      </c>
      <c r="B41" t="s">
        <v>16</v>
      </c>
      <c r="C41" t="s">
        <v>24</v>
      </c>
      <c r="D41" t="s">
        <v>54</v>
      </c>
      <c r="E41" t="s">
        <v>55</v>
      </c>
      <c r="F41" s="2">
        <v>0.83333333333333337</v>
      </c>
      <c r="G41" s="2">
        <v>0.95833333333333337</v>
      </c>
      <c r="H41">
        <v>3</v>
      </c>
      <c r="I41">
        <v>30</v>
      </c>
      <c r="J41">
        <v>0</v>
      </c>
      <c r="K41">
        <v>0</v>
      </c>
      <c r="L41">
        <v>90</v>
      </c>
      <c r="M41">
        <v>0</v>
      </c>
      <c r="N41">
        <v>90</v>
      </c>
      <c r="O41" t="s">
        <v>20</v>
      </c>
      <c r="P41" t="s">
        <v>77</v>
      </c>
    </row>
    <row r="42" spans="1:16" x14ac:dyDescent="0.2">
      <c r="A42" s="1">
        <v>46059</v>
      </c>
      <c r="B42" t="s">
        <v>16</v>
      </c>
      <c r="C42" t="s">
        <v>24</v>
      </c>
      <c r="D42" t="s">
        <v>57</v>
      </c>
      <c r="E42" t="s">
        <v>58</v>
      </c>
      <c r="F42" s="2">
        <v>0.95833333333333337</v>
      </c>
      <c r="G42" s="2">
        <v>0.29166666666666669</v>
      </c>
      <c r="H42">
        <v>8</v>
      </c>
      <c r="I42">
        <v>11.25</v>
      </c>
      <c r="J42">
        <v>0</v>
      </c>
      <c r="K42">
        <v>0</v>
      </c>
      <c r="L42">
        <v>90</v>
      </c>
      <c r="M42">
        <v>0</v>
      </c>
      <c r="N42">
        <v>90</v>
      </c>
      <c r="O42" t="s">
        <v>20</v>
      </c>
      <c r="P42" t="s">
        <v>78</v>
      </c>
    </row>
    <row r="43" spans="1:16" hidden="1" x14ac:dyDescent="0.2">
      <c r="A43" s="1">
        <v>46061</v>
      </c>
      <c r="B43" t="s">
        <v>16</v>
      </c>
      <c r="C43" t="s">
        <v>24</v>
      </c>
      <c r="D43" t="s">
        <v>25</v>
      </c>
      <c r="E43" t="s">
        <v>26</v>
      </c>
      <c r="F43" s="2">
        <v>0.29166666666666669</v>
      </c>
      <c r="G43" s="2">
        <v>0.375</v>
      </c>
      <c r="H43">
        <v>2</v>
      </c>
      <c r="I43">
        <v>35</v>
      </c>
      <c r="J43">
        <v>0</v>
      </c>
      <c r="K43">
        <v>0</v>
      </c>
      <c r="L43">
        <v>490</v>
      </c>
      <c r="M43">
        <v>0</v>
      </c>
      <c r="N43">
        <v>490</v>
      </c>
      <c r="O43" t="s">
        <v>20</v>
      </c>
      <c r="P43" t="s">
        <v>79</v>
      </c>
    </row>
    <row r="44" spans="1:16" hidden="1" x14ac:dyDescent="0.2">
      <c r="A44" s="1">
        <v>46061</v>
      </c>
      <c r="B44" t="s">
        <v>16</v>
      </c>
      <c r="C44" t="s">
        <v>24</v>
      </c>
      <c r="D44" t="s">
        <v>54</v>
      </c>
      <c r="E44" t="s">
        <v>55</v>
      </c>
      <c r="F44" s="2">
        <v>0.83333333333333337</v>
      </c>
      <c r="G44" s="2">
        <v>0.95833333333333337</v>
      </c>
      <c r="H44">
        <v>3</v>
      </c>
      <c r="I44">
        <v>35</v>
      </c>
      <c r="J44">
        <v>0</v>
      </c>
      <c r="K44">
        <v>0</v>
      </c>
      <c r="L44">
        <v>105</v>
      </c>
      <c r="M44">
        <v>0</v>
      </c>
      <c r="N44">
        <v>105</v>
      </c>
      <c r="O44" t="s">
        <v>20</v>
      </c>
      <c r="P44" t="s">
        <v>80</v>
      </c>
    </row>
    <row r="45" spans="1:16" x14ac:dyDescent="0.2">
      <c r="A45" s="1">
        <v>46061</v>
      </c>
      <c r="B45" t="s">
        <v>16</v>
      </c>
      <c r="C45" t="s">
        <v>24</v>
      </c>
      <c r="D45" t="s">
        <v>57</v>
      </c>
      <c r="E45" t="s">
        <v>58</v>
      </c>
      <c r="F45" s="2">
        <v>0.95833333333333337</v>
      </c>
      <c r="G45" s="2">
        <v>0.29166666666666669</v>
      </c>
      <c r="H45">
        <v>8</v>
      </c>
      <c r="I45">
        <v>11.25</v>
      </c>
      <c r="J45">
        <v>0</v>
      </c>
      <c r="K45">
        <v>0</v>
      </c>
      <c r="L45">
        <v>90</v>
      </c>
      <c r="M45">
        <v>0</v>
      </c>
      <c r="N45">
        <v>90</v>
      </c>
      <c r="O45" t="s">
        <v>20</v>
      </c>
      <c r="P45" t="s">
        <v>81</v>
      </c>
    </row>
    <row r="46" spans="1:16" hidden="1" x14ac:dyDescent="0.2">
      <c r="A46" s="1">
        <v>46061</v>
      </c>
      <c r="B46" t="s">
        <v>16</v>
      </c>
      <c r="C46" t="s">
        <v>22</v>
      </c>
      <c r="D46" t="s">
        <v>18</v>
      </c>
      <c r="E46" t="s">
        <v>19</v>
      </c>
      <c r="F46" s="2">
        <v>0.79166666666666663</v>
      </c>
      <c r="G46" s="2">
        <v>0.8125</v>
      </c>
      <c r="H46">
        <v>0.5</v>
      </c>
      <c r="I46">
        <v>35</v>
      </c>
      <c r="J46">
        <v>0</v>
      </c>
      <c r="K46">
        <v>0</v>
      </c>
      <c r="L46">
        <v>17.5</v>
      </c>
      <c r="M46">
        <v>0</v>
      </c>
      <c r="N46">
        <v>17.5</v>
      </c>
      <c r="O46" t="s">
        <v>20</v>
      </c>
      <c r="P46" t="s">
        <v>82</v>
      </c>
    </row>
    <row r="47" spans="1:16" hidden="1" x14ac:dyDescent="0.2">
      <c r="A47" s="1">
        <v>46061</v>
      </c>
      <c r="B47" t="s">
        <v>16</v>
      </c>
      <c r="C47" t="s">
        <v>17</v>
      </c>
      <c r="D47" t="s">
        <v>18</v>
      </c>
      <c r="E47" t="s">
        <v>19</v>
      </c>
      <c r="F47" s="2">
        <v>0.8125</v>
      </c>
      <c r="G47" s="2">
        <v>0.83333333333333337</v>
      </c>
      <c r="H47">
        <v>0.5</v>
      </c>
      <c r="I47">
        <v>35</v>
      </c>
      <c r="J47">
        <v>0</v>
      </c>
      <c r="K47">
        <v>0</v>
      </c>
      <c r="L47">
        <v>17.5</v>
      </c>
      <c r="M47">
        <v>0</v>
      </c>
      <c r="N47">
        <v>17.5</v>
      </c>
      <c r="O47" t="s">
        <v>20</v>
      </c>
      <c r="P47" t="s">
        <v>83</v>
      </c>
    </row>
    <row r="48" spans="1:16" hidden="1" x14ac:dyDescent="0.2">
      <c r="A48" s="1">
        <v>46056</v>
      </c>
      <c r="B48" t="s">
        <v>16</v>
      </c>
      <c r="C48" t="s">
        <v>24</v>
      </c>
      <c r="D48" t="s">
        <v>54</v>
      </c>
      <c r="E48" t="s">
        <v>26</v>
      </c>
      <c r="F48" s="2">
        <v>0.83333333333333337</v>
      </c>
      <c r="G48" s="2">
        <v>0.95833333333333337</v>
      </c>
      <c r="H48">
        <v>3</v>
      </c>
      <c r="I48">
        <v>30</v>
      </c>
      <c r="J48">
        <v>5</v>
      </c>
      <c r="K48">
        <v>0.85</v>
      </c>
      <c r="L48">
        <v>90</v>
      </c>
      <c r="M48">
        <v>4.25</v>
      </c>
      <c r="N48">
        <v>94.25</v>
      </c>
      <c r="O48" t="s">
        <v>20</v>
      </c>
      <c r="P48" t="s">
        <v>80</v>
      </c>
    </row>
    <row r="49" spans="1:16" x14ac:dyDescent="0.2">
      <c r="A49" s="1">
        <v>46056</v>
      </c>
      <c r="B49" t="s">
        <v>16</v>
      </c>
      <c r="C49" t="s">
        <v>24</v>
      </c>
      <c r="D49" t="s">
        <v>57</v>
      </c>
      <c r="E49" t="s">
        <v>58</v>
      </c>
      <c r="F49" s="2">
        <v>0.95833333333333337</v>
      </c>
      <c r="G49" s="2">
        <v>0.29166666666666669</v>
      </c>
      <c r="H49">
        <v>8</v>
      </c>
      <c r="I49">
        <v>11.25</v>
      </c>
      <c r="J49">
        <v>0</v>
      </c>
      <c r="K49">
        <v>0</v>
      </c>
      <c r="L49">
        <v>90</v>
      </c>
      <c r="M49">
        <v>0</v>
      </c>
      <c r="N49">
        <v>90</v>
      </c>
      <c r="O49" t="s">
        <v>20</v>
      </c>
      <c r="P49" t="s">
        <v>84</v>
      </c>
    </row>
    <row r="50" spans="1:16" hidden="1" x14ac:dyDescent="0.2">
      <c r="A50" s="1">
        <v>46057</v>
      </c>
      <c r="B50" t="s">
        <v>16</v>
      </c>
      <c r="C50" t="s">
        <v>40</v>
      </c>
      <c r="D50" t="s">
        <v>33</v>
      </c>
      <c r="E50" t="s">
        <v>26</v>
      </c>
      <c r="F50" s="2">
        <v>0.375</v>
      </c>
      <c r="G50" s="2">
        <v>0.41666666666666669</v>
      </c>
      <c r="H50">
        <v>1</v>
      </c>
      <c r="I50">
        <v>30</v>
      </c>
      <c r="J50">
        <v>8</v>
      </c>
      <c r="K50">
        <v>0.85</v>
      </c>
      <c r="L50">
        <v>390</v>
      </c>
      <c r="M50">
        <v>6.8</v>
      </c>
      <c r="N50">
        <v>396.8</v>
      </c>
      <c r="O50" t="s">
        <v>20</v>
      </c>
      <c r="P50" t="s">
        <v>85</v>
      </c>
    </row>
    <row r="51" spans="1:16" hidden="1" x14ac:dyDescent="0.2">
      <c r="A51" s="1">
        <v>46059</v>
      </c>
      <c r="B51" t="s">
        <v>16</v>
      </c>
      <c r="C51" t="s">
        <v>40</v>
      </c>
      <c r="D51" t="s">
        <v>33</v>
      </c>
      <c r="E51" t="s">
        <v>26</v>
      </c>
      <c r="F51" s="2">
        <v>0.375</v>
      </c>
      <c r="G51" s="2">
        <v>0.41666666666666669</v>
      </c>
      <c r="H51">
        <v>1</v>
      </c>
      <c r="I51">
        <v>30</v>
      </c>
      <c r="J51">
        <v>4</v>
      </c>
      <c r="K51">
        <v>0.85</v>
      </c>
      <c r="L51">
        <v>30</v>
      </c>
      <c r="M51">
        <v>3.4</v>
      </c>
      <c r="N51">
        <v>33.4</v>
      </c>
      <c r="O51" t="s">
        <v>20</v>
      </c>
      <c r="P51" t="s">
        <v>86</v>
      </c>
    </row>
    <row r="52" spans="1:16" hidden="1" x14ac:dyDescent="0.2">
      <c r="A52" s="1">
        <v>46059</v>
      </c>
      <c r="B52" t="s">
        <v>16</v>
      </c>
      <c r="C52" t="s">
        <v>28</v>
      </c>
      <c r="D52" t="s">
        <v>29</v>
      </c>
      <c r="E52" t="s">
        <v>26</v>
      </c>
      <c r="F52" s="2">
        <v>0.72916666666666663</v>
      </c>
      <c r="G52" s="2">
        <v>0.8125</v>
      </c>
      <c r="H52">
        <v>2</v>
      </c>
      <c r="I52">
        <v>30</v>
      </c>
      <c r="J52">
        <v>0</v>
      </c>
      <c r="K52">
        <v>0</v>
      </c>
      <c r="L52">
        <v>60</v>
      </c>
      <c r="M52">
        <v>0</v>
      </c>
      <c r="N52">
        <v>60</v>
      </c>
      <c r="O52" t="s">
        <v>20</v>
      </c>
      <c r="P52" t="s">
        <v>87</v>
      </c>
    </row>
    <row r="53" spans="1:16" hidden="1" x14ac:dyDescent="0.2">
      <c r="A53" s="1">
        <v>46059</v>
      </c>
      <c r="B53" t="s">
        <v>16</v>
      </c>
      <c r="C53" t="s">
        <v>42</v>
      </c>
      <c r="D53" t="s">
        <v>33</v>
      </c>
      <c r="E53" t="s">
        <v>26</v>
      </c>
      <c r="F53" s="2">
        <v>0.41666666666666669</v>
      </c>
      <c r="G53" s="2">
        <v>0.58333333333333337</v>
      </c>
      <c r="H53">
        <v>4</v>
      </c>
      <c r="I53">
        <v>30</v>
      </c>
      <c r="J53">
        <v>12</v>
      </c>
      <c r="K53">
        <v>0.85</v>
      </c>
      <c r="L53">
        <v>120</v>
      </c>
      <c r="M53">
        <v>10.199999999999999</v>
      </c>
      <c r="N53">
        <v>130.19999999999999</v>
      </c>
      <c r="O53" t="s">
        <v>20</v>
      </c>
      <c r="P53" t="s">
        <v>88</v>
      </c>
    </row>
  </sheetData>
  <autoFilter ref="A1:P53" xr:uid="{157D874F-4510-1B44-A24D-74E3DE0BE5F1}">
    <filterColumn colId="7">
      <filters>
        <filter val="8"/>
      </filters>
    </filterColumn>
  </autoFilter>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Detail1</vt:lpstr>
      <vt:lpstr>Sheet1</vt:lpstr>
      <vt:lpstr>MIST_Report_2026-02-07</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Raj Kumar BHATTRAI</cp:lastModifiedBy>
  <dcterms:created xsi:type="dcterms:W3CDTF">2026-02-07T10:16:41Z</dcterms:created>
  <dcterms:modified xsi:type="dcterms:W3CDTF">2026-02-07T10:40:04Z</dcterms:modified>
</cp:coreProperties>
</file>